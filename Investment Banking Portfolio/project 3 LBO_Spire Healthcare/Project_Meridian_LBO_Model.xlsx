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Investment Banking Portfolio\project 3 LBO_Spire Healthcare\"/>
    </mc:Choice>
  </mc:AlternateContent>
  <xr:revisionPtr revIDLastSave="0" documentId="13_ncr:1_{D33038CB-F750-4C7A-93EB-A9C8867156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umptions" sheetId="1" r:id="rId1"/>
    <sheet name="Historical" sheetId="2" r:id="rId2"/>
    <sheet name="Operating Model" sheetId="3" r:id="rId3"/>
    <sheet name="Debt Schedule" sheetId="4" r:id="rId4"/>
    <sheet name="Returns" sheetId="5" r:id="rId5"/>
    <sheet name="Sensitivity" sheetId="6" r:id="rId6"/>
    <sheet name="Model Guide" sheetId="7" r:id="rId7"/>
  </sheets>
  <definedNames>
    <definedName name="_xlnm._FilterDatabase" localSheetId="0" hidden="1">Assumptions!$A$1:$D$25</definedName>
    <definedName name="_xlnm._FilterDatabase" localSheetId="3" hidden="1">'Debt Schedule'!$A$1:$G$14</definedName>
    <definedName name="_xlnm._FilterDatabase" localSheetId="1" hidden="1">Historical!$A$1:$D$12</definedName>
    <definedName name="_xlnm._FilterDatabase" localSheetId="6" hidden="1">'Model Guide'!$A$1:$D$11</definedName>
    <definedName name="_xlnm._FilterDatabase" localSheetId="2" hidden="1">'Operating Model'!$A$1:$G$15</definedName>
    <definedName name="_xlnm._FilterDatabase" localSheetId="4" hidden="1">Returns!$A$1:$E$19</definedName>
    <definedName name="_xlnm._FilterDatabase" localSheetId="5" hidden="1">Sensitivity!$A$1:$F$13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B8" i="5" s="1"/>
  <c r="B5" i="4"/>
  <c r="C5" i="4" s="1"/>
  <c r="B11" i="3"/>
  <c r="B7" i="3"/>
  <c r="C7" i="3" s="1"/>
  <c r="D7" i="3" s="1"/>
  <c r="E7" i="3" s="1"/>
  <c r="F7" i="3" s="1"/>
  <c r="G7" i="3" s="1"/>
  <c r="B5" i="3"/>
  <c r="B8" i="3" s="1"/>
  <c r="C6" i="2"/>
  <c r="B6" i="2"/>
  <c r="C5" i="2"/>
  <c r="C7" i="2" s="1"/>
  <c r="B7" i="1"/>
  <c r="B5" i="2" s="1"/>
  <c r="C6" i="4" l="1"/>
  <c r="B7" i="2"/>
  <c r="B9" i="4"/>
  <c r="B8" i="4"/>
  <c r="C8" i="2"/>
  <c r="B9" i="3"/>
  <c r="B10" i="3" s="1"/>
  <c r="C5" i="3"/>
  <c r="C12" i="3" l="1"/>
  <c r="C9" i="3"/>
  <c r="C8" i="3"/>
  <c r="C6" i="3"/>
  <c r="C11" i="3"/>
  <c r="D5" i="3"/>
  <c r="D12" i="3" l="1"/>
  <c r="D9" i="3"/>
  <c r="D6" i="3"/>
  <c r="E5" i="3"/>
  <c r="D11" i="3"/>
  <c r="D8" i="3"/>
  <c r="C7" i="4"/>
  <c r="C8" i="4" s="1"/>
  <c r="C10" i="3"/>
  <c r="E9" i="3" l="1"/>
  <c r="E6" i="3"/>
  <c r="E12" i="3"/>
  <c r="E11" i="3"/>
  <c r="E8" i="3"/>
  <c r="F5" i="3"/>
  <c r="D5" i="4"/>
  <c r="C9" i="4"/>
  <c r="D10" i="3"/>
  <c r="D6" i="4" l="1"/>
  <c r="D7" i="4" s="1"/>
  <c r="D8" i="4" s="1"/>
  <c r="E10" i="3"/>
  <c r="F6" i="3"/>
  <c r="F11" i="3"/>
  <c r="F9" i="3"/>
  <c r="F8" i="3"/>
  <c r="G5" i="3"/>
  <c r="F12" i="3"/>
  <c r="E5" i="4" l="1"/>
  <c r="D9" i="4"/>
  <c r="F10" i="3"/>
  <c r="G6" i="3"/>
  <c r="G11" i="3"/>
  <c r="G8" i="3"/>
  <c r="G12" i="3"/>
  <c r="G9" i="3"/>
  <c r="C9" i="5" l="1"/>
  <c r="C10" i="5" s="1"/>
  <c r="G10" i="3"/>
  <c r="E6" i="4"/>
  <c r="E7" i="4" s="1"/>
  <c r="E8" i="4" s="1"/>
  <c r="F5" i="4" l="1"/>
  <c r="E9" i="4"/>
  <c r="F8" i="4" l="1"/>
  <c r="F6" i="4"/>
  <c r="F7" i="4" s="1"/>
  <c r="F9" i="4" l="1"/>
  <c r="G5" i="4"/>
  <c r="G6" i="4" l="1"/>
  <c r="G7" i="4" s="1"/>
  <c r="G8" i="4" s="1"/>
  <c r="G9" i="4" l="1"/>
  <c r="C11" i="5"/>
  <c r="C12" i="5" s="1"/>
  <c r="C13" i="5" s="1"/>
  <c r="C14" i="5" s="1"/>
  <c r="C8" i="6"/>
  <c r="C9" i="6"/>
  <c r="E5" i="6"/>
  <c r="C5" i="6"/>
  <c r="E7" i="6"/>
  <c r="B7" i="6"/>
  <c r="B6" i="6"/>
  <c r="B8" i="6"/>
  <c r="D7" i="6"/>
  <c r="E9" i="6"/>
  <c r="D9" i="6"/>
  <c r="B9" i="6"/>
  <c r="E8" i="6"/>
  <c r="F7" i="6"/>
  <c r="D8" i="6"/>
  <c r="F9" i="6"/>
  <c r="C7" i="6"/>
  <c r="F6" i="6"/>
  <c r="E6" i="6"/>
  <c r="B5" i="6"/>
  <c r="D5" i="6"/>
  <c r="F8" i="6"/>
  <c r="C6" i="6"/>
  <c r="F5" i="6"/>
  <c r="D6" i="6"/>
</calcChain>
</file>

<file path=xl/sharedStrings.xml><?xml version="1.0" encoding="utf-8"?>
<sst xmlns="http://schemas.openxmlformats.org/spreadsheetml/2006/main" count="161" uniqueCount="139">
  <si>
    <t>PROJECT MERIDIAN | LBO MODEL</t>
  </si>
  <si>
    <t>Hypothetical sponsor acquisition of Spire Healthcare Group plc | GBP millions unless stated</t>
  </si>
  <si>
    <t>Assumption</t>
  </si>
  <si>
    <t>Value</t>
  </si>
  <si>
    <t>Units</t>
  </si>
  <si>
    <t>Comment</t>
  </si>
  <si>
    <t>LTM Revenue</t>
  </si>
  <si>
    <t>£m</t>
  </si>
  <si>
    <t>FY2025 reported revenue; source: Spire 2025 Annual Report</t>
  </si>
  <si>
    <t>LTM Adjusted EBITDA</t>
  </si>
  <si>
    <t>FY2025 reported adjusted EBITDA; source: Spire 2025 Annual Report</t>
  </si>
  <si>
    <t>Prior-year Revenue</t>
  </si>
  <si>
    <t>Implied from reported FY2025 revenue growth of 4.5%; approximate</t>
  </si>
  <si>
    <t>Prior-year Adjusted EBITDA</t>
  </si>
  <si>
    <t>FY2024 comparative reported in Spire 2025 Annual Report</t>
  </si>
  <si>
    <t>Entry EV / EBITDA</t>
  </si>
  <si>
    <t>x</t>
  </si>
  <si>
    <t>Illustrative assumption; not a market quote or fairness opinion</t>
  </si>
  <si>
    <t>Entry Debt / EBITDA</t>
  </si>
  <si>
    <t>Illustrative financing assumption; subject to lender diligence</t>
  </si>
  <si>
    <t>Transaction Fees</t>
  </si>
  <si>
    <t>% of Entry EV</t>
  </si>
  <si>
    <t>Illustrative assumption</t>
  </si>
  <si>
    <t>Forecast Revenue Growth</t>
  </si>
  <si>
    <t>%</t>
  </si>
  <si>
    <t>Illustrative base case, informed by FY2025 reported growth; not guidance</t>
  </si>
  <si>
    <t>EBITDA Margin Improvement</t>
  </si>
  <si>
    <t>% points per year</t>
  </si>
  <si>
    <t>Illustrative annual margin expansion</t>
  </si>
  <si>
    <t>Maintenance Capex</t>
  </si>
  <si>
    <t>% of revenue</t>
  </si>
  <si>
    <t>Illustrative assumption; validate against reported cash flow/capex</t>
  </si>
  <si>
    <t>Cash Tax Rate</t>
  </si>
  <si>
    <t>Illustrative normalized tax assumption</t>
  </si>
  <si>
    <t>Cash Interest Rate</t>
  </si>
  <si>
    <t>Illustrative blended cash interest assumption</t>
  </si>
  <si>
    <t>Minimum Cash Balance</t>
  </si>
  <si>
    <t>Illustrative operating liquidity reserve</t>
  </si>
  <si>
    <t>Exit EV / EBITDA</t>
  </si>
  <si>
    <t>Illustrative exit multiple; one turn below entry</t>
  </si>
  <si>
    <t>Hold Period</t>
  </si>
  <si>
    <t>years</t>
  </si>
  <si>
    <t>Illustrative five-year sponsor hold</t>
  </si>
  <si>
    <t>D&amp;A</t>
  </si>
  <si>
    <t>Illustrative depreciation and amortisation assumption</t>
  </si>
  <si>
    <t>Working Capital Investment</t>
  </si>
  <si>
    <t>% of incremental revenue</t>
  </si>
  <si>
    <t>Illustrative cash investment assumption</t>
  </si>
  <si>
    <t>Important limitation</t>
  </si>
  <si>
    <t>Screening model only. Entry EV is used as the acquisition funding base; existing debt, cash, lease liabilities, refinancing, minority interests, pension items, taxes, and detailed sources-and-uses are not fully reconciled. Do not present as a transaction-ready model until these items are sourced and incorporated.</t>
  </si>
  <si>
    <t>HISTORICAL FINANCIAL ANCHORS</t>
  </si>
  <si>
    <t>Publicly reported figures vs. modelled assumptions are explicitly separated</t>
  </si>
  <si>
    <t>Metric</t>
  </si>
  <si>
    <t>FY2024</t>
  </si>
  <si>
    <t>FY2025</t>
  </si>
  <si>
    <t>Source / treatment</t>
  </si>
  <si>
    <t>Revenue (£m)</t>
  </si>
  <si>
    <t>FY2024 implied from reported 4.5% growth; FY2025 reported</t>
  </si>
  <si>
    <t>Adjusted EBITDA (£m)</t>
  </si>
  <si>
    <t>Reported adjusted EBITDA</t>
  </si>
  <si>
    <t>Adjusted EBITDA margin</t>
  </si>
  <si>
    <t>Calculated from above</t>
  </si>
  <si>
    <t>Revenue growth</t>
  </si>
  <si>
    <t>FY2025 reported growth stated as 4.5%; calculation may differ due to rounding</t>
  </si>
  <si>
    <t>Data discipline</t>
  </si>
  <si>
    <t>Only the FY2025 revenue (£1,579.8m), FY2025 adjusted EBITDA (£268.6m), FY2024 adjusted EBITDA (£260.0m) and reported revenue growth (4.5%) are entered from the cited public summary. FY2024 revenue is mathematically implied, not directly transcribed. Other historical line items must be extracted from the annual report before expanding the model.</t>
  </si>
  <si>
    <t>OPERATING MODEL</t>
  </si>
  <si>
    <t>Five-year illustrative forecast | GBP millions</t>
  </si>
  <si>
    <t>FY2025A</t>
  </si>
  <si>
    <t>FY2026E</t>
  </si>
  <si>
    <t>FY2027E</t>
  </si>
  <si>
    <t>FY2028E</t>
  </si>
  <si>
    <t>FY2029E</t>
  </si>
  <si>
    <t>FY2030E</t>
  </si>
  <si>
    <t>Revenue</t>
  </si>
  <si>
    <t>Adjusted EBITDA</t>
  </si>
  <si>
    <t>EBIT</t>
  </si>
  <si>
    <t>Maintenance capex</t>
  </si>
  <si>
    <t>Working capital investment</t>
  </si>
  <si>
    <t>Forecast note</t>
  </si>
  <si>
    <t>All forecast drivers are illustrative, not company guidance. Model assumes revenue growth, modest annual EBITDA margin improvement, capex as a percentage of revenue, and working capital investment tied to incremental sales. Replace with segment-level evidence and management guidance where available.</t>
  </si>
  <si>
    <t>DEBT SCHEDULE</t>
  </si>
  <si>
    <t>Simplified single-term-loan cash sweep | GBP millions</t>
  </si>
  <si>
    <t>At Close</t>
  </si>
  <si>
    <t>Opening debt</t>
  </si>
  <si>
    <t>Cash interest</t>
  </si>
  <si>
    <t>Cash available for debt paydown</t>
  </si>
  <si>
    <t>Closing debt</t>
  </si>
  <si>
    <t>Debt / EBITDA</t>
  </si>
  <si>
    <t>Mechanics / limitations</t>
  </si>
  <si>
    <t>Simplified debt schedule. Interest is calculated on opening debt; cash available for paydown is an approximation and is not a full cash flow statement. It excludes detailed taxes, fees amortisation, mandatory amortisation, revolver mechanics, minimum-cash reconciliation and lease liabilities. Replace with a full cash flow build before relying on the output.</t>
  </si>
  <si>
    <t>SPONSOR RETURNS</t>
  </si>
  <si>
    <t>Illustrative gross equity returns before fund-level fees and carried interest</t>
  </si>
  <si>
    <t>Entry</t>
  </si>
  <si>
    <t>Exit</t>
  </si>
  <si>
    <t>Formula / note</t>
  </si>
  <si>
    <t>Entry Enterprise Value</t>
  </si>
  <si>
    <t>LTM EBITDA × entry multiple</t>
  </si>
  <si>
    <t>Entry EV × fee assumption</t>
  </si>
  <si>
    <t>Entry Debt</t>
  </si>
  <si>
    <t>LTM EBITDA × leverage assumption</t>
  </si>
  <si>
    <t>Sponsor Equity</t>
  </si>
  <si>
    <t>Entry EV + fees − debt; simplified</t>
  </si>
  <si>
    <t>Exit EBITDA</t>
  </si>
  <si>
    <t>FY2030E EBITDA</t>
  </si>
  <si>
    <t>Exit Enterprise Value</t>
  </si>
  <si>
    <t>Exit EBITDA × exit multiple</t>
  </si>
  <si>
    <t>Exit Debt</t>
  </si>
  <si>
    <t>Closing debt at end of hold</t>
  </si>
  <si>
    <t>Exit Equity Value</t>
  </si>
  <si>
    <t>Exit EV − exit debt; excludes cash / other claims</t>
  </si>
  <si>
    <t>MOIC</t>
  </si>
  <si>
    <t>Exit equity / sponsor equity</t>
  </si>
  <si>
    <t>Gross IRR</t>
  </si>
  <si>
    <t>Annualized return over hold period</t>
  </si>
  <si>
    <t>Interpretation</t>
  </si>
  <si>
    <t>Returns are highly sensitive to entry multiple, exit multiple, operating performance and debt repayment. Treat the result as a screening output only until purchase price bridge, existing debt/cash, leases, financing fees, tax, and cash flow mechanics are reconciled.</t>
  </si>
  <si>
    <t>SENSITIVITY ANALYSIS</t>
  </si>
  <si>
    <t>Exit gross MOIC by entry and exit valuation multiple | simplified debt held constant to base case</t>
  </si>
  <si>
    <t>Entry EV / EBITDA →</t>
  </si>
  <si>
    <t>Caution</t>
  </si>
  <si>
    <t>Sensitivity grid is a directional screening tool, not a fully recalculated two-variable LBO. It changes entry and exit multiples but holds the base-case debt schedule fixed; a production model should recalculate debt sizing and amortisation for each entry case.</t>
  </si>
  <si>
    <t>MODEL GUIDE</t>
  </si>
  <si>
    <t>Read before using or presenting this workbook</t>
  </si>
  <si>
    <t>Purpose</t>
  </si>
  <si>
    <t>Educational LBO screening case for a hypothetical private-equity acquisition of Spire Healthcare Group plc.</t>
  </si>
  <si>
    <t>GBP millions unless stated. Multiples shown as x; percentages shown as percentages.</t>
  </si>
  <si>
    <t>Input colour</t>
  </si>
  <si>
    <t>Yellow cells are key assumptions intended for user review. Blue font denotes formulas.</t>
  </si>
  <si>
    <t>Public anchors</t>
  </si>
  <si>
    <t>FY2025 revenue £1,579.8m; FY2025 adjusted EBITDA £268.6m; FY2024 adjusted EBITDA £260.0m; reported FY2025 revenue growth 4.5%. Source: Spire Healthcare 2025 Annual Report and Accounts.</t>
  </si>
  <si>
    <t>Illustrative assumptions</t>
  </si>
  <si>
    <t>Entry / exit multiples, leverage, fees, growth, margin expansion, capex, tax, interest and working capital are modelling assumptions, not sourced transaction terms or company guidance.</t>
  </si>
  <si>
    <t>Key missing work</t>
  </si>
  <si>
    <t>Extract full 3-year income statement, cash flow, debt, cash, lease liabilities, pension liabilities, capex and segment disclosures from annual reports; create EV-to-equity bridge and full sources &amp; uses; reconcile leases and interest; add downside case and covenant analysis.</t>
  </si>
  <si>
    <t>Quality control</t>
  </si>
  <si>
    <t>Open in Excel or LibreOffice to recalculate formulas. Review formulas and replace all screening assumptions before relying on results. Some spreadsheet applications may not calculate until opened.</t>
  </si>
  <si>
    <t>Disclaimer</t>
  </si>
  <si>
    <t>This is a student analytical case study, not investment advice, a fairness opinion, a financing commitment or a representation of a real transaction.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</si>
</sst>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\-"/>
    <numFmt numFmtId="165" formatCode="0.0%"/>
    <numFmt numFmtId="166" formatCode="0.0\x"/>
    <numFmt numFmtId="167" formatCode="0.00\x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vertical="center" wrapText="1"/>
    </xf>
    <xf numFmtId="0" fontId="0" fillId="0" borderId="0" xfId="0"/>
    <xf numFmtId="0" fontId="0" fillId="5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3" fillId="2" borderId="2" xfId="0" applyNumberFormat="1" applyFont="1" applyFill="1" applyBorder="1" applyAlignment="1">
      <alignment vertical="center" wrapText="1"/>
    </xf>
    <xf numFmtId="167" fontId="6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65" fontId="6" fillId="0" borderId="2" xfId="0" applyNumberFormat="1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6" fontId="6" fillId="0" borderId="2" xfId="0" applyNumberFormat="1" applyFont="1" applyBorder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165" fontId="0" fillId="3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D9" sqref="D9"/>
    </sheetView>
  </sheetViews>
  <sheetFormatPr defaultRowHeight="14.5" x14ac:dyDescent="0.35"/>
  <cols>
    <col min="1" max="1" width="25.453125" bestFit="1" customWidth="1"/>
    <col min="2" max="2" width="11.36328125" bestFit="1" customWidth="1"/>
    <col min="3" max="3" width="15.36328125" bestFit="1" customWidth="1"/>
    <col min="4" max="4" width="62.54296875" bestFit="1" customWidth="1"/>
  </cols>
  <sheetData>
    <row r="1" spans="1:4" ht="28" customHeight="1" x14ac:dyDescent="0.35">
      <c r="A1" s="4" t="s">
        <v>0</v>
      </c>
      <c r="B1" s="5"/>
      <c r="C1" s="5"/>
      <c r="D1" s="5"/>
    </row>
    <row r="2" spans="1:4" x14ac:dyDescent="0.35">
      <c r="A2" s="6" t="s">
        <v>1</v>
      </c>
      <c r="B2" s="5"/>
      <c r="C2" s="5"/>
      <c r="D2" s="5"/>
    </row>
    <row r="3" spans="1:4" x14ac:dyDescent="0.35">
      <c r="A3" s="7"/>
      <c r="B3" s="7"/>
      <c r="C3" s="7"/>
      <c r="D3" s="7"/>
    </row>
    <row r="4" spans="1:4" x14ac:dyDescent="0.35">
      <c r="A4" s="14" t="s">
        <v>2</v>
      </c>
      <c r="B4" s="14" t="s">
        <v>3</v>
      </c>
      <c r="C4" s="14" t="s">
        <v>4</v>
      </c>
      <c r="D4" s="14" t="s">
        <v>5</v>
      </c>
    </row>
    <row r="5" spans="1:4" x14ac:dyDescent="0.35">
      <c r="A5" s="15" t="s">
        <v>6</v>
      </c>
      <c r="B5" s="22">
        <v>1579.8</v>
      </c>
      <c r="C5" s="15" t="s">
        <v>7</v>
      </c>
      <c r="D5" s="15" t="s">
        <v>8</v>
      </c>
    </row>
    <row r="6" spans="1:4" x14ac:dyDescent="0.35">
      <c r="A6" s="15" t="s">
        <v>9</v>
      </c>
      <c r="B6" s="22">
        <v>268.60000000000002</v>
      </c>
      <c r="C6" s="15" t="s">
        <v>7</v>
      </c>
      <c r="D6" s="15" t="s">
        <v>10</v>
      </c>
    </row>
    <row r="7" spans="1:4" x14ac:dyDescent="0.35">
      <c r="A7" s="15" t="s">
        <v>11</v>
      </c>
      <c r="B7" s="23">
        <f>B5/(1+4.5%)</f>
        <v>1511.7703349282297</v>
      </c>
      <c r="C7" s="15" t="s">
        <v>7</v>
      </c>
      <c r="D7" s="15" t="s">
        <v>12</v>
      </c>
    </row>
    <row r="8" spans="1:4" x14ac:dyDescent="0.35">
      <c r="A8" s="15" t="s">
        <v>13</v>
      </c>
      <c r="B8" s="22">
        <v>260</v>
      </c>
      <c r="C8" s="15" t="s">
        <v>7</v>
      </c>
      <c r="D8" s="15" t="s">
        <v>14</v>
      </c>
    </row>
    <row r="9" spans="1:4" x14ac:dyDescent="0.35">
      <c r="A9" s="15" t="s">
        <v>15</v>
      </c>
      <c r="B9" s="22">
        <v>10</v>
      </c>
      <c r="C9" s="15" t="s">
        <v>16</v>
      </c>
      <c r="D9" s="15" t="s">
        <v>17</v>
      </c>
    </row>
    <row r="10" spans="1:4" x14ac:dyDescent="0.35">
      <c r="A10" s="15" t="s">
        <v>18</v>
      </c>
      <c r="B10" s="22">
        <v>5</v>
      </c>
      <c r="C10" s="15" t="s">
        <v>16</v>
      </c>
      <c r="D10" s="15" t="s">
        <v>19</v>
      </c>
    </row>
    <row r="11" spans="1:4" x14ac:dyDescent="0.35">
      <c r="A11" s="15" t="s">
        <v>20</v>
      </c>
      <c r="B11" s="24">
        <v>0.02</v>
      </c>
      <c r="C11" s="15" t="s">
        <v>21</v>
      </c>
      <c r="D11" s="15" t="s">
        <v>22</v>
      </c>
    </row>
    <row r="12" spans="1:4" x14ac:dyDescent="0.35">
      <c r="A12" s="15" t="s">
        <v>23</v>
      </c>
      <c r="B12" s="24">
        <v>4.4999999999999998E-2</v>
      </c>
      <c r="C12" s="15" t="s">
        <v>24</v>
      </c>
      <c r="D12" s="15" t="s">
        <v>25</v>
      </c>
    </row>
    <row r="13" spans="1:4" x14ac:dyDescent="0.35">
      <c r="A13" s="15" t="s">
        <v>26</v>
      </c>
      <c r="B13" s="24">
        <v>2.5000000000000001E-3</v>
      </c>
      <c r="C13" s="15" t="s">
        <v>27</v>
      </c>
      <c r="D13" s="15" t="s">
        <v>28</v>
      </c>
    </row>
    <row r="14" spans="1:4" x14ac:dyDescent="0.35">
      <c r="A14" s="15" t="s">
        <v>29</v>
      </c>
      <c r="B14" s="24">
        <v>4.4999999999999998E-2</v>
      </c>
      <c r="C14" s="15" t="s">
        <v>30</v>
      </c>
      <c r="D14" s="15" t="s">
        <v>31</v>
      </c>
    </row>
    <row r="15" spans="1:4" x14ac:dyDescent="0.35">
      <c r="A15" s="15" t="s">
        <v>32</v>
      </c>
      <c r="B15" s="24">
        <v>0.25</v>
      </c>
      <c r="C15" s="15" t="s">
        <v>24</v>
      </c>
      <c r="D15" s="15" t="s">
        <v>33</v>
      </c>
    </row>
    <row r="16" spans="1:4" x14ac:dyDescent="0.35">
      <c r="A16" s="15" t="s">
        <v>34</v>
      </c>
      <c r="B16" s="24">
        <v>7.4999999999999997E-2</v>
      </c>
      <c r="C16" s="15" t="s">
        <v>24</v>
      </c>
      <c r="D16" s="15" t="s">
        <v>35</v>
      </c>
    </row>
    <row r="17" spans="1:4" x14ac:dyDescent="0.35">
      <c r="A17" s="15" t="s">
        <v>36</v>
      </c>
      <c r="B17" s="22">
        <v>20</v>
      </c>
      <c r="C17" s="15" t="s">
        <v>7</v>
      </c>
      <c r="D17" s="15" t="s">
        <v>37</v>
      </c>
    </row>
    <row r="18" spans="1:4" x14ac:dyDescent="0.35">
      <c r="A18" s="15" t="s">
        <v>38</v>
      </c>
      <c r="B18" s="22">
        <v>9</v>
      </c>
      <c r="C18" s="15" t="s">
        <v>16</v>
      </c>
      <c r="D18" s="15" t="s">
        <v>39</v>
      </c>
    </row>
    <row r="19" spans="1:4" x14ac:dyDescent="0.35">
      <c r="A19" s="15" t="s">
        <v>40</v>
      </c>
      <c r="B19" s="22">
        <v>5</v>
      </c>
      <c r="C19" s="15" t="s">
        <v>41</v>
      </c>
      <c r="D19" s="15" t="s">
        <v>42</v>
      </c>
    </row>
    <row r="20" spans="1:4" x14ac:dyDescent="0.35">
      <c r="A20" s="15" t="s">
        <v>43</v>
      </c>
      <c r="B20" s="24">
        <v>3.5000000000000003E-2</v>
      </c>
      <c r="C20" s="15" t="s">
        <v>30</v>
      </c>
      <c r="D20" s="15" t="s">
        <v>44</v>
      </c>
    </row>
    <row r="21" spans="1:4" ht="29" x14ac:dyDescent="0.35">
      <c r="A21" s="15" t="s">
        <v>45</v>
      </c>
      <c r="B21" s="24">
        <v>5.0000000000000001E-3</v>
      </c>
      <c r="C21" s="15" t="s">
        <v>46</v>
      </c>
      <c r="D21" s="15" t="s">
        <v>47</v>
      </c>
    </row>
    <row r="24" spans="1:4" x14ac:dyDescent="0.35">
      <c r="A24" s="1" t="s">
        <v>48</v>
      </c>
      <c r="B24" s="3" t="s">
        <v>49</v>
      </c>
      <c r="C24" s="2"/>
      <c r="D24" s="2"/>
    </row>
    <row r="25" spans="1:4" x14ac:dyDescent="0.35">
      <c r="B25" s="2"/>
      <c r="C25" s="2"/>
      <c r="D25" s="2"/>
    </row>
  </sheetData>
  <autoFilter ref="A1:D25" xr:uid="{00000000-0009-0000-0000-000000000000}"/>
  <mergeCells count="3">
    <mergeCell ref="A1:D1"/>
    <mergeCell ref="B24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8" sqref="A18"/>
    </sheetView>
  </sheetViews>
  <sheetFormatPr defaultRowHeight="14.5" x14ac:dyDescent="0.35"/>
  <cols>
    <col min="1" max="1" width="21.26953125" bestFit="1" customWidth="1"/>
    <col min="2" max="3" width="11.36328125" bestFit="1" customWidth="1"/>
    <col min="4" max="4" width="67.26953125" bestFit="1" customWidth="1"/>
  </cols>
  <sheetData>
    <row r="1" spans="1:4" ht="28" customHeight="1" x14ac:dyDescent="0.35">
      <c r="A1" s="4" t="s">
        <v>50</v>
      </c>
      <c r="B1" s="5"/>
      <c r="C1" s="5"/>
      <c r="D1" s="5"/>
    </row>
    <row r="2" spans="1:4" x14ac:dyDescent="0.35">
      <c r="A2" s="6" t="s">
        <v>51</v>
      </c>
      <c r="B2" s="5"/>
      <c r="C2" s="5"/>
      <c r="D2" s="5"/>
    </row>
    <row r="3" spans="1:4" x14ac:dyDescent="0.35">
      <c r="A3" s="7"/>
      <c r="B3" s="7"/>
      <c r="C3" s="7"/>
      <c r="D3" s="7"/>
    </row>
    <row r="4" spans="1:4" x14ac:dyDescent="0.35">
      <c r="A4" s="14" t="s">
        <v>52</v>
      </c>
      <c r="B4" s="14" t="s">
        <v>53</v>
      </c>
      <c r="C4" s="14" t="s">
        <v>54</v>
      </c>
      <c r="D4" s="14" t="s">
        <v>55</v>
      </c>
    </row>
    <row r="5" spans="1:4" x14ac:dyDescent="0.35">
      <c r="A5" s="15" t="s">
        <v>56</v>
      </c>
      <c r="B5" s="16">
        <f>Assumptions!B7</f>
        <v>1511.7703349282297</v>
      </c>
      <c r="C5" s="16">
        <f>Assumptions!B5</f>
        <v>1579.8</v>
      </c>
      <c r="D5" s="15" t="s">
        <v>57</v>
      </c>
    </row>
    <row r="6" spans="1:4" x14ac:dyDescent="0.35">
      <c r="A6" s="15" t="s">
        <v>58</v>
      </c>
      <c r="B6" s="16">
        <f>Assumptions!B8</f>
        <v>260</v>
      </c>
      <c r="C6" s="16">
        <f>Assumptions!B6</f>
        <v>268.60000000000002</v>
      </c>
      <c r="D6" s="15" t="s">
        <v>59</v>
      </c>
    </row>
    <row r="7" spans="1:4" x14ac:dyDescent="0.35">
      <c r="A7" s="15" t="s">
        <v>60</v>
      </c>
      <c r="B7" s="16">
        <f>B6/B5</f>
        <v>0.1719837954171414</v>
      </c>
      <c r="C7" s="16">
        <f>C6/C5</f>
        <v>0.17002152171160909</v>
      </c>
      <c r="D7" s="15" t="s">
        <v>61</v>
      </c>
    </row>
    <row r="8" spans="1:4" x14ac:dyDescent="0.35">
      <c r="A8" s="15" t="s">
        <v>62</v>
      </c>
      <c r="B8" s="15"/>
      <c r="C8" s="16">
        <f>C5/B5-1</f>
        <v>4.4999999999999929E-2</v>
      </c>
      <c r="D8" s="15" t="s">
        <v>63</v>
      </c>
    </row>
    <row r="9" spans="1:4" x14ac:dyDescent="0.35">
      <c r="A9" s="7"/>
      <c r="B9" s="7"/>
      <c r="C9" s="7"/>
      <c r="D9" s="7"/>
    </row>
    <row r="10" spans="1:4" x14ac:dyDescent="0.35">
      <c r="A10" s="7"/>
      <c r="B10" s="7"/>
      <c r="C10" s="7"/>
      <c r="D10" s="7"/>
    </row>
    <row r="11" spans="1:4" x14ac:dyDescent="0.35">
      <c r="A11" s="8" t="s">
        <v>64</v>
      </c>
      <c r="B11" s="18" t="s">
        <v>65</v>
      </c>
      <c r="C11" s="5"/>
      <c r="D11" s="5"/>
    </row>
    <row r="12" spans="1:4" x14ac:dyDescent="0.35">
      <c r="A12" s="7"/>
      <c r="B12" s="5"/>
      <c r="C12" s="5"/>
      <c r="D12" s="5"/>
    </row>
  </sheetData>
  <autoFilter ref="A1:D12" xr:uid="{00000000-0009-0000-0000-000001000000}"/>
  <mergeCells count="3">
    <mergeCell ref="A1:D1"/>
    <mergeCell ref="B11:D1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G15"/>
    </sheetView>
  </sheetViews>
  <sheetFormatPr defaultRowHeight="14.5" x14ac:dyDescent="0.35"/>
  <cols>
    <col min="1" max="1" width="23.7265625" bestFit="1" customWidth="1"/>
    <col min="2" max="2" width="7.90625" bestFit="1" customWidth="1"/>
    <col min="3" max="7" width="11.36328125" bestFit="1" customWidth="1"/>
  </cols>
  <sheetData>
    <row r="1" spans="1:7" ht="28" customHeight="1" x14ac:dyDescent="0.35">
      <c r="A1" s="4" t="s">
        <v>66</v>
      </c>
      <c r="B1" s="5"/>
      <c r="C1" s="5"/>
      <c r="D1" s="5"/>
      <c r="E1" s="5"/>
      <c r="F1" s="5"/>
      <c r="G1" s="5"/>
    </row>
    <row r="2" spans="1:7" x14ac:dyDescent="0.35">
      <c r="A2" s="6" t="s">
        <v>67</v>
      </c>
      <c r="B2" s="5"/>
      <c r="C2" s="5"/>
      <c r="D2" s="5"/>
      <c r="E2" s="5"/>
      <c r="F2" s="5"/>
      <c r="G2" s="5"/>
    </row>
    <row r="3" spans="1:7" x14ac:dyDescent="0.35">
      <c r="A3" s="7"/>
      <c r="B3" s="7"/>
      <c r="C3" s="7"/>
      <c r="D3" s="7"/>
      <c r="E3" s="7"/>
      <c r="F3" s="7"/>
      <c r="G3" s="7"/>
    </row>
    <row r="4" spans="1:7" x14ac:dyDescent="0.35">
      <c r="A4" s="14" t="s">
        <v>52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73</v>
      </c>
    </row>
    <row r="5" spans="1:7" x14ac:dyDescent="0.35">
      <c r="A5" s="15" t="s">
        <v>74</v>
      </c>
      <c r="B5" s="16">
        <f>Assumptions!B5</f>
        <v>1579.8</v>
      </c>
      <c r="C5" s="16">
        <f>B5*(1+Assumptions!B12)</f>
        <v>1650.8909999999998</v>
      </c>
      <c r="D5" s="16">
        <f>C5*(1+Assumptions!B12)</f>
        <v>1725.1810949999997</v>
      </c>
      <c r="E5" s="16">
        <f>D5*(1+Assumptions!B12)</f>
        <v>1802.8142442749995</v>
      </c>
      <c r="F5" s="16">
        <f>E5*(1+Assumptions!B12)</f>
        <v>1883.9408852673744</v>
      </c>
      <c r="G5" s="16">
        <f>F5*(1+Assumptions!B12)</f>
        <v>1968.718225104406</v>
      </c>
    </row>
    <row r="6" spans="1:7" x14ac:dyDescent="0.35">
      <c r="A6" s="15" t="s">
        <v>62</v>
      </c>
      <c r="B6" s="21"/>
      <c r="C6" s="17">
        <f>C5/B5-1</f>
        <v>4.4999999999999929E-2</v>
      </c>
      <c r="D6" s="17">
        <f>D5/C5-1</f>
        <v>4.4999999999999929E-2</v>
      </c>
      <c r="E6" s="17">
        <f>E5/D5-1</f>
        <v>4.4999999999999929E-2</v>
      </c>
      <c r="F6" s="17">
        <f>F5/E5-1</f>
        <v>4.4999999999999929E-2</v>
      </c>
      <c r="G6" s="17">
        <f>G5/F5-1</f>
        <v>4.4999999999999929E-2</v>
      </c>
    </row>
    <row r="7" spans="1:7" x14ac:dyDescent="0.35">
      <c r="A7" s="15" t="s">
        <v>60</v>
      </c>
      <c r="B7" s="17">
        <f>Assumptions!B6/Assumptions!B5</f>
        <v>0.17002152171160909</v>
      </c>
      <c r="C7" s="17">
        <f>B7+Assumptions!B13</f>
        <v>0.17252152171160909</v>
      </c>
      <c r="D7" s="17">
        <f>C7+Assumptions!B13</f>
        <v>0.17502152171160909</v>
      </c>
      <c r="E7" s="17">
        <f>D7+Assumptions!B13</f>
        <v>0.17752152171160909</v>
      </c>
      <c r="F7" s="17">
        <f>E7+Assumptions!B13</f>
        <v>0.18002152171160909</v>
      </c>
      <c r="G7" s="17">
        <f>F7+Assumptions!B13</f>
        <v>0.1825215217116091</v>
      </c>
    </row>
    <row r="8" spans="1:7" x14ac:dyDescent="0.35">
      <c r="A8" s="15" t="s">
        <v>75</v>
      </c>
      <c r="B8" s="16">
        <f t="shared" ref="B8:G8" si="0">B5*B7</f>
        <v>268.60000000000002</v>
      </c>
      <c r="C8" s="16">
        <f t="shared" si="0"/>
        <v>284.81422750000002</v>
      </c>
      <c r="D8" s="16">
        <f t="shared" si="0"/>
        <v>301.943820475</v>
      </c>
      <c r="E8" s="16">
        <f t="shared" si="0"/>
        <v>320.03832800706249</v>
      </c>
      <c r="F8" s="16">
        <f t="shared" si="0"/>
        <v>339.14990498054868</v>
      </c>
      <c r="G8" s="16">
        <f t="shared" si="0"/>
        <v>359.33344626743434</v>
      </c>
    </row>
    <row r="9" spans="1:7" x14ac:dyDescent="0.35">
      <c r="A9" s="15" t="s">
        <v>43</v>
      </c>
      <c r="B9" s="16">
        <f>B5*Assumptions!B20</f>
        <v>55.293000000000006</v>
      </c>
      <c r="C9" s="16">
        <f>C5*Assumptions!B20</f>
        <v>57.781185000000001</v>
      </c>
      <c r="D9" s="16">
        <f>D5*Assumptions!B20</f>
        <v>60.381338324999994</v>
      </c>
      <c r="E9" s="16">
        <f>E5*Assumptions!B20</f>
        <v>63.098498549624992</v>
      </c>
      <c r="F9" s="16">
        <f>F5*Assumptions!B20</f>
        <v>65.937930984358104</v>
      </c>
      <c r="G9" s="16">
        <f>G5*Assumptions!B20</f>
        <v>68.905137878654216</v>
      </c>
    </row>
    <row r="10" spans="1:7" x14ac:dyDescent="0.35">
      <c r="A10" s="15" t="s">
        <v>76</v>
      </c>
      <c r="B10" s="16">
        <f t="shared" ref="B10:G10" si="1">B8-B9</f>
        <v>213.30700000000002</v>
      </c>
      <c r="C10" s="16">
        <f t="shared" si="1"/>
        <v>227.03304250000002</v>
      </c>
      <c r="D10" s="16">
        <f t="shared" si="1"/>
        <v>241.56248214999999</v>
      </c>
      <c r="E10" s="16">
        <f t="shared" si="1"/>
        <v>256.9398294574375</v>
      </c>
      <c r="F10" s="16">
        <f t="shared" si="1"/>
        <v>273.21197399619058</v>
      </c>
      <c r="G10" s="16">
        <f t="shared" si="1"/>
        <v>290.42830838878012</v>
      </c>
    </row>
    <row r="11" spans="1:7" x14ac:dyDescent="0.35">
      <c r="A11" s="15" t="s">
        <v>77</v>
      </c>
      <c r="B11" s="16">
        <f>B5*Assumptions!B14</f>
        <v>71.090999999999994</v>
      </c>
      <c r="C11" s="16">
        <f>C5*Assumptions!B14</f>
        <v>74.290094999999994</v>
      </c>
      <c r="D11" s="16">
        <f>D5*Assumptions!B14</f>
        <v>77.63314927499998</v>
      </c>
      <c r="E11" s="16">
        <f>E5*Assumptions!B14</f>
        <v>81.126640992374973</v>
      </c>
      <c r="F11" s="16">
        <f>F5*Assumptions!B14</f>
        <v>84.777339837031846</v>
      </c>
      <c r="G11" s="16">
        <f>G5*Assumptions!B14</f>
        <v>88.592320129698265</v>
      </c>
    </row>
    <row r="12" spans="1:7" x14ac:dyDescent="0.35">
      <c r="A12" s="15" t="s">
        <v>78</v>
      </c>
      <c r="B12" s="19">
        <v>0</v>
      </c>
      <c r="C12" s="16">
        <f>MAX(0,(C5-B5)*Assumptions!B21)</f>
        <v>0.35545499999999947</v>
      </c>
      <c r="D12" s="16">
        <f>MAX(0,(D5-C5)*Assumptions!B21)</f>
        <v>0.37145047499999917</v>
      </c>
      <c r="E12" s="16">
        <f>MAX(0,(E5-D5)*Assumptions!B21)</f>
        <v>0.38816574637499912</v>
      </c>
      <c r="F12" s="16">
        <f>MAX(0,(F5-E5)*Assumptions!B21)</f>
        <v>0.40563320496187433</v>
      </c>
      <c r="G12" s="16">
        <f>MAX(0,(G5-F5)*Assumptions!B21)</f>
        <v>0.42388669918515803</v>
      </c>
    </row>
    <row r="13" spans="1:7" x14ac:dyDescent="0.35">
      <c r="A13" s="7"/>
      <c r="B13" s="7"/>
      <c r="C13" s="7"/>
      <c r="D13" s="7"/>
      <c r="E13" s="7"/>
      <c r="F13" s="7"/>
      <c r="G13" s="7"/>
    </row>
    <row r="14" spans="1:7" x14ac:dyDescent="0.35">
      <c r="A14" s="8" t="s">
        <v>79</v>
      </c>
      <c r="B14" s="18" t="s">
        <v>80</v>
      </c>
      <c r="C14" s="5"/>
      <c r="D14" s="5"/>
      <c r="E14" s="5"/>
      <c r="F14" s="5"/>
      <c r="G14" s="5"/>
    </row>
    <row r="15" spans="1:7" x14ac:dyDescent="0.35">
      <c r="A15" s="7"/>
      <c r="B15" s="5"/>
      <c r="C15" s="5"/>
      <c r="D15" s="5"/>
      <c r="E15" s="5"/>
      <c r="F15" s="5"/>
      <c r="G15" s="5"/>
    </row>
  </sheetData>
  <autoFilter ref="A1:G15" xr:uid="{00000000-0009-0000-0000-000002000000}"/>
  <mergeCells count="3">
    <mergeCell ref="A2:G2"/>
    <mergeCell ref="B14:G15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7" sqref="B17"/>
    </sheetView>
  </sheetViews>
  <sheetFormatPr defaultRowHeight="14.5" x14ac:dyDescent="0.35"/>
  <cols>
    <col min="1" max="1" width="28.36328125" bestFit="1" customWidth="1"/>
    <col min="2" max="2" width="7.6328125" bestFit="1" customWidth="1"/>
    <col min="3" max="3" width="7.7265625" bestFit="1" customWidth="1"/>
    <col min="4" max="7" width="11.36328125" bestFit="1" customWidth="1"/>
  </cols>
  <sheetData>
    <row r="1" spans="1:7" ht="28" customHeight="1" x14ac:dyDescent="0.35">
      <c r="A1" s="4" t="s">
        <v>81</v>
      </c>
      <c r="B1" s="5"/>
      <c r="C1" s="5"/>
      <c r="D1" s="5"/>
      <c r="E1" s="5"/>
      <c r="F1" s="5"/>
      <c r="G1" s="5"/>
    </row>
    <row r="2" spans="1:7" x14ac:dyDescent="0.35">
      <c r="A2" s="6" t="s">
        <v>82</v>
      </c>
      <c r="B2" s="5"/>
      <c r="C2" s="5"/>
      <c r="D2" s="5"/>
      <c r="E2" s="5"/>
      <c r="F2" s="5"/>
      <c r="G2" s="5"/>
    </row>
    <row r="3" spans="1:7" x14ac:dyDescent="0.35">
      <c r="A3" s="7"/>
      <c r="B3" s="7"/>
      <c r="C3" s="7"/>
      <c r="D3" s="7"/>
      <c r="E3" s="7"/>
      <c r="F3" s="7"/>
      <c r="G3" s="7"/>
    </row>
    <row r="4" spans="1:7" x14ac:dyDescent="0.35">
      <c r="A4" s="14" t="s">
        <v>52</v>
      </c>
      <c r="B4" s="14" t="s">
        <v>83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73</v>
      </c>
    </row>
    <row r="5" spans="1:7" x14ac:dyDescent="0.35">
      <c r="A5" s="15" t="s">
        <v>84</v>
      </c>
      <c r="B5" s="16">
        <f>Assumptions!B6*Assumptions!B10</f>
        <v>1343</v>
      </c>
      <c r="C5" s="16">
        <f>B5</f>
        <v>1343</v>
      </c>
      <c r="D5" s="16">
        <f>C8</f>
        <v>1343</v>
      </c>
      <c r="E5" s="16">
        <f>D8</f>
        <v>1340.5577381374999</v>
      </c>
      <c r="F5" s="16">
        <f>E8</f>
        <v>1329.9095031434842</v>
      </c>
      <c r="G5" s="16">
        <f>F8</f>
        <v>1309.9267084240964</v>
      </c>
    </row>
    <row r="6" spans="1:7" x14ac:dyDescent="0.35">
      <c r="A6" s="15" t="s">
        <v>85</v>
      </c>
      <c r="B6" s="19">
        <v>0</v>
      </c>
      <c r="C6" s="16">
        <f>C5*Assumptions!B16</f>
        <v>100.72499999999999</v>
      </c>
      <c r="D6" s="16">
        <f>D5*Assumptions!B16</f>
        <v>100.72499999999999</v>
      </c>
      <c r="E6" s="16">
        <f>E5*Assumptions!B16</f>
        <v>100.54183036031249</v>
      </c>
      <c r="F6" s="16">
        <f>F5*Assumptions!B16</f>
        <v>99.743212735761318</v>
      </c>
      <c r="G6" s="16">
        <f>G5*Assumptions!B16</f>
        <v>98.244503131807235</v>
      </c>
    </row>
    <row r="7" spans="1:7" x14ac:dyDescent="0.35">
      <c r="A7" s="15" t="s">
        <v>86</v>
      </c>
      <c r="B7" s="19">
        <v>0</v>
      </c>
      <c r="C7" s="16">
        <f>MAX(0,'Operating Model'!C8-'Operating Model'!C11-'Operating Model'!C12-'Operating Model'!C9-'Operating Model'!C10*Assumptions!B15-C6)</f>
        <v>0</v>
      </c>
      <c r="D7" s="16">
        <f>MAX(0,'Operating Model'!D8-'Operating Model'!D11-'Operating Model'!D12-'Operating Model'!D9-'Operating Model'!D10*Assumptions!B15-D6)</f>
        <v>2.4422618625000183</v>
      </c>
      <c r="E7" s="16">
        <f>MAX(0,'Operating Model'!E8-'Operating Model'!E11-'Operating Model'!E12-'Operating Model'!E9-'Operating Model'!E10*Assumptions!B15-E6)</f>
        <v>10.648234994015667</v>
      </c>
      <c r="F7" s="16">
        <f>MAX(0,'Operating Model'!F8-'Operating Model'!F11-'Operating Model'!F12-'Operating Model'!F9-'Operating Model'!F10*Assumptions!B15-F6)</f>
        <v>19.982794719387911</v>
      </c>
      <c r="G7" s="16">
        <f>MAX(0,'Operating Model'!G8-'Operating Model'!G11-'Operating Model'!G12-'Operating Model'!G9-'Operating Model'!G10*Assumptions!B15-G6)</f>
        <v>30.560521330894389</v>
      </c>
    </row>
    <row r="8" spans="1:7" x14ac:dyDescent="0.35">
      <c r="A8" s="15" t="s">
        <v>87</v>
      </c>
      <c r="B8" s="16">
        <f>B5</f>
        <v>1343</v>
      </c>
      <c r="C8" s="16">
        <f>MAX(0,C5-C7)</f>
        <v>1343</v>
      </c>
      <c r="D8" s="16">
        <f>MAX(0,D5-D7)</f>
        <v>1340.5577381374999</v>
      </c>
      <c r="E8" s="16">
        <f>MAX(0,E5-E7)</f>
        <v>1329.9095031434842</v>
      </c>
      <c r="F8" s="16">
        <f>MAX(0,F5-F7)</f>
        <v>1309.9267084240964</v>
      </c>
      <c r="G8" s="16">
        <f>MAX(0,G5-G7)</f>
        <v>1279.3661870932021</v>
      </c>
    </row>
    <row r="9" spans="1:7" x14ac:dyDescent="0.35">
      <c r="A9" s="15" t="s">
        <v>88</v>
      </c>
      <c r="B9" s="20">
        <f>B5/Assumptions!B6</f>
        <v>5</v>
      </c>
      <c r="C9" s="20">
        <f>C8/'Operating Model'!C8</f>
        <v>4.7153543268831255</v>
      </c>
      <c r="D9" s="20">
        <f>D8/'Operating Model'!D8</f>
        <v>4.4397588135058186</v>
      </c>
      <c r="E9" s="20">
        <f>E8/'Operating Model'!E8</f>
        <v>4.1554694758752033</v>
      </c>
      <c r="F9" s="20">
        <f>F8/'Operating Model'!F8</f>
        <v>3.8623826490507933</v>
      </c>
      <c r="G9" s="20">
        <f>G8/'Operating Model'!G8</f>
        <v>3.5603871567831522</v>
      </c>
    </row>
    <row r="10" spans="1:7" x14ac:dyDescent="0.35">
      <c r="A10" s="7"/>
      <c r="B10" s="7"/>
      <c r="C10" s="7"/>
      <c r="D10" s="7"/>
      <c r="E10" s="7"/>
      <c r="F10" s="7"/>
      <c r="G10" s="7"/>
    </row>
    <row r="11" spans="1:7" x14ac:dyDescent="0.35">
      <c r="A11" s="7"/>
      <c r="B11" s="7"/>
      <c r="C11" s="7"/>
      <c r="D11" s="7"/>
      <c r="E11" s="7"/>
      <c r="F11" s="7"/>
      <c r="G11" s="7"/>
    </row>
    <row r="12" spans="1:7" x14ac:dyDescent="0.35">
      <c r="A12" s="8" t="s">
        <v>89</v>
      </c>
      <c r="B12" s="13" t="s">
        <v>90</v>
      </c>
      <c r="C12" s="5"/>
      <c r="D12" s="5"/>
      <c r="E12" s="5"/>
      <c r="F12" s="5"/>
      <c r="G12" s="5"/>
    </row>
    <row r="13" spans="1:7" x14ac:dyDescent="0.35">
      <c r="A13" s="7"/>
      <c r="B13" s="5"/>
      <c r="C13" s="5"/>
      <c r="D13" s="5"/>
      <c r="E13" s="5"/>
      <c r="F13" s="5"/>
      <c r="G13" s="5"/>
    </row>
    <row r="14" spans="1:7" x14ac:dyDescent="0.35">
      <c r="A14" s="7"/>
      <c r="B14" s="5"/>
      <c r="C14" s="5"/>
      <c r="D14" s="5"/>
      <c r="E14" s="5"/>
      <c r="F14" s="5"/>
      <c r="G14" s="5"/>
    </row>
  </sheetData>
  <autoFilter ref="A1:G14" xr:uid="{00000000-0009-0000-0000-000003000000}"/>
  <mergeCells count="3">
    <mergeCell ref="B12:G14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xSplit="1" ySplit="3" topLeftCell="B5" activePane="bottomRight" state="frozen"/>
      <selection pane="topRight"/>
      <selection pane="bottomLeft"/>
      <selection pane="bottomRight" activeCell="G9" sqref="G9"/>
    </sheetView>
  </sheetViews>
  <sheetFormatPr defaultRowHeight="14.5" x14ac:dyDescent="0.35"/>
  <cols>
    <col min="1" max="1" width="19.453125" bestFit="1" customWidth="1"/>
    <col min="2" max="2" width="7.36328125" bestFit="1" customWidth="1"/>
    <col min="3" max="3" width="11.36328125" bestFit="1" customWidth="1"/>
    <col min="4" max="4" width="40.453125" bestFit="1" customWidth="1"/>
    <col min="5" max="5" width="5" customWidth="1"/>
  </cols>
  <sheetData>
    <row r="1" spans="1:5" ht="28" customHeight="1" x14ac:dyDescent="0.35">
      <c r="A1" s="4" t="s">
        <v>91</v>
      </c>
      <c r="B1" s="5"/>
      <c r="C1" s="5"/>
      <c r="D1" s="5"/>
      <c r="E1" s="5"/>
    </row>
    <row r="2" spans="1:5" x14ac:dyDescent="0.35">
      <c r="A2" s="6" t="s">
        <v>92</v>
      </c>
      <c r="B2" s="5"/>
      <c r="C2" s="5"/>
      <c r="D2" s="5"/>
      <c r="E2" s="5"/>
    </row>
    <row r="3" spans="1:5" x14ac:dyDescent="0.35">
      <c r="A3" s="7"/>
      <c r="B3" s="7"/>
      <c r="C3" s="7"/>
      <c r="D3" s="7"/>
      <c r="E3" s="7"/>
    </row>
    <row r="4" spans="1:5" x14ac:dyDescent="0.35">
      <c r="A4" s="14" t="s">
        <v>52</v>
      </c>
      <c r="B4" s="14" t="s">
        <v>93</v>
      </c>
      <c r="C4" s="14" t="s">
        <v>94</v>
      </c>
      <c r="D4" s="14" t="s">
        <v>95</v>
      </c>
      <c r="E4" s="14"/>
    </row>
    <row r="5" spans="1:5" x14ac:dyDescent="0.35">
      <c r="A5" s="15" t="s">
        <v>96</v>
      </c>
      <c r="B5" s="16">
        <f>Assumptions!B6*Assumptions!B9</f>
        <v>2686</v>
      </c>
      <c r="C5" s="15"/>
      <c r="D5" s="15" t="s">
        <v>97</v>
      </c>
      <c r="E5" s="15"/>
    </row>
    <row r="6" spans="1:5" x14ac:dyDescent="0.35">
      <c r="A6" s="15" t="s">
        <v>20</v>
      </c>
      <c r="B6" s="16">
        <f>B5*Assumptions!B11</f>
        <v>53.72</v>
      </c>
      <c r="C6" s="15"/>
      <c r="D6" s="15" t="s">
        <v>98</v>
      </c>
      <c r="E6" s="15"/>
    </row>
    <row r="7" spans="1:5" x14ac:dyDescent="0.35">
      <c r="A7" s="15" t="s">
        <v>99</v>
      </c>
      <c r="B7" s="16">
        <f>Assumptions!B6*Assumptions!B10</f>
        <v>1343</v>
      </c>
      <c r="C7" s="15"/>
      <c r="D7" s="15" t="s">
        <v>100</v>
      </c>
      <c r="E7" s="15"/>
    </row>
    <row r="8" spans="1:5" x14ac:dyDescent="0.35">
      <c r="A8" s="15" t="s">
        <v>101</v>
      </c>
      <c r="B8" s="16">
        <f>B5+B6-B7</f>
        <v>1396.7199999999998</v>
      </c>
      <c r="C8" s="15"/>
      <c r="D8" s="15" t="s">
        <v>102</v>
      </c>
      <c r="E8" s="15"/>
    </row>
    <row r="9" spans="1:5" x14ac:dyDescent="0.35">
      <c r="A9" s="15" t="s">
        <v>103</v>
      </c>
      <c r="B9" s="15"/>
      <c r="C9" s="16">
        <f>'Operating Model'!G8</f>
        <v>359.33344626743434</v>
      </c>
      <c r="D9" s="15" t="s">
        <v>104</v>
      </c>
      <c r="E9" s="15"/>
    </row>
    <row r="10" spans="1:5" x14ac:dyDescent="0.35">
      <c r="A10" s="15" t="s">
        <v>105</v>
      </c>
      <c r="B10" s="15"/>
      <c r="C10" s="16">
        <f>C9*Assumptions!B18</f>
        <v>3234.001016406909</v>
      </c>
      <c r="D10" s="15" t="s">
        <v>106</v>
      </c>
      <c r="E10" s="15"/>
    </row>
    <row r="11" spans="1:5" x14ac:dyDescent="0.35">
      <c r="A11" s="15" t="s">
        <v>107</v>
      </c>
      <c r="B11" s="15"/>
      <c r="C11" s="16">
        <f>'Debt Schedule'!G8</f>
        <v>1279.3661870932021</v>
      </c>
      <c r="D11" s="15" t="s">
        <v>108</v>
      </c>
      <c r="E11" s="15"/>
    </row>
    <row r="12" spans="1:5" x14ac:dyDescent="0.35">
      <c r="A12" s="15" t="s">
        <v>109</v>
      </c>
      <c r="B12" s="15"/>
      <c r="C12" s="16">
        <f>C10-C11</f>
        <v>1954.6348293137069</v>
      </c>
      <c r="D12" s="15" t="s">
        <v>110</v>
      </c>
      <c r="E12" s="15"/>
    </row>
    <row r="13" spans="1:5" x14ac:dyDescent="0.35">
      <c r="A13" s="15" t="s">
        <v>111</v>
      </c>
      <c r="B13" s="15"/>
      <c r="C13" s="11">
        <f>C12/B8</f>
        <v>1.3994464383081127</v>
      </c>
      <c r="D13" s="15" t="s">
        <v>112</v>
      </c>
      <c r="E13" s="15"/>
    </row>
    <row r="14" spans="1:5" x14ac:dyDescent="0.35">
      <c r="A14" s="15" t="s">
        <v>113</v>
      </c>
      <c r="B14" s="15"/>
      <c r="C14" s="17">
        <f>(C13)^(1/Assumptions!B19)-1</f>
        <v>6.9525777296846947E-2</v>
      </c>
      <c r="D14" s="15" t="s">
        <v>114</v>
      </c>
      <c r="E14" s="15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8" t="s">
        <v>115</v>
      </c>
      <c r="B17" s="18" t="s">
        <v>116</v>
      </c>
      <c r="C17" s="5"/>
      <c r="D17" s="5"/>
      <c r="E17" s="5"/>
    </row>
    <row r="18" spans="1:5" x14ac:dyDescent="0.35">
      <c r="A18" s="7"/>
      <c r="B18" s="5"/>
      <c r="C18" s="5"/>
      <c r="D18" s="5"/>
      <c r="E18" s="5"/>
    </row>
    <row r="19" spans="1:5" x14ac:dyDescent="0.35">
      <c r="A19" s="7"/>
      <c r="B19" s="5"/>
      <c r="C19" s="5"/>
      <c r="D19" s="5"/>
      <c r="E19" s="5"/>
    </row>
  </sheetData>
  <autoFilter ref="A1:E19" xr:uid="{00000000-0009-0000-0000-000004000000}"/>
  <mergeCells count="3">
    <mergeCell ref="A2:E2"/>
    <mergeCell ref="A1:E1"/>
    <mergeCell ref="B17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H6" sqref="H6"/>
    </sheetView>
  </sheetViews>
  <sheetFormatPr defaultRowHeight="14.5" x14ac:dyDescent="0.35"/>
  <cols>
    <col min="1" max="1" width="18.08984375" bestFit="1" customWidth="1"/>
    <col min="2" max="6" width="5.26953125" bestFit="1" customWidth="1"/>
  </cols>
  <sheetData>
    <row r="1" spans="1:6" ht="28" customHeight="1" x14ac:dyDescent="0.35">
      <c r="A1" s="4" t="s">
        <v>117</v>
      </c>
      <c r="B1" s="5"/>
      <c r="C1" s="5"/>
      <c r="D1" s="5"/>
      <c r="E1" s="5"/>
      <c r="F1" s="5"/>
    </row>
    <row r="2" spans="1:6" ht="27" customHeight="1" x14ac:dyDescent="0.35">
      <c r="A2" s="6" t="s">
        <v>118</v>
      </c>
      <c r="B2" s="5"/>
      <c r="C2" s="5"/>
      <c r="D2" s="5"/>
      <c r="E2" s="5"/>
      <c r="F2" s="5"/>
    </row>
    <row r="3" spans="1:6" x14ac:dyDescent="0.35">
      <c r="A3" s="7"/>
      <c r="B3" s="7"/>
      <c r="C3" s="7"/>
      <c r="D3" s="7"/>
      <c r="E3" s="7"/>
      <c r="F3" s="7"/>
    </row>
    <row r="4" spans="1:6" ht="29" x14ac:dyDescent="0.35">
      <c r="A4" s="8" t="s">
        <v>119</v>
      </c>
      <c r="B4" s="10">
        <v>8</v>
      </c>
      <c r="C4" s="10">
        <v>9</v>
      </c>
      <c r="D4" s="10">
        <v>10</v>
      </c>
      <c r="E4" s="10">
        <v>11</v>
      </c>
      <c r="F4" s="10">
        <v>12</v>
      </c>
    </row>
    <row r="5" spans="1:6" x14ac:dyDescent="0.35">
      <c r="A5" s="10">
        <v>7</v>
      </c>
      <c r="B5" s="11">
        <f>(('Operating Model'!G8*$A5-'Debt Schedule'!G8)/(Assumptions!B6*8+Assumptions!B6*8*Assumptions!B11-Assumptions!B6*Assumptions!B10))</f>
        <v>1.4561768202433125</v>
      </c>
      <c r="C5" s="11">
        <f>(('Operating Model'!G8*$A5-'Debt Schedule'!G8)/(Assumptions!B6*9+Assumptions!B6*9*Assumptions!B11-Assumptions!B6*Assumptions!B10))</f>
        <v>1.100841806691117</v>
      </c>
      <c r="D5" s="11">
        <f>(('Operating Model'!G8*$A5-'Debt Schedule'!G8)/(Assumptions!B6*10+Assumptions!B6*10*Assumptions!B11-Assumptions!B6*Assumptions!B10))</f>
        <v>0.88490745230170575</v>
      </c>
      <c r="E5" s="11">
        <f>(('Operating Model'!G8*$A5-'Debt Schedule'!G8)/(Assumptions!B6*11+Assumptions!B6*11*Assumptions!B11-Assumptions!B6*Assumptions!B10))</f>
        <v>0.73979401157055757</v>
      </c>
      <c r="F5" s="11">
        <f>(('Operating Model'!G8*$A5-'Debt Schedule'!G8)/(Assumptions!B6*12+Assumptions!B6*12*Assumptions!B11-Assumptions!B6*Assumptions!B10))</f>
        <v>0.63556888839349013</v>
      </c>
    </row>
    <row r="6" spans="1:6" x14ac:dyDescent="0.35">
      <c r="A6" s="10">
        <v>8</v>
      </c>
      <c r="B6" s="11">
        <f>(('Operating Model'!G8*$A6-'Debt Schedule'!G8)/(Assumptions!B6*8+Assumptions!B6*8*Assumptions!B11-Assumptions!B6*Assumptions!B10))</f>
        <v>1.879531682147318</v>
      </c>
      <c r="C6" s="11">
        <f>(('Operating Model'!G8*$A6-'Debt Schedule'!G8)/(Assumptions!B6*9+Assumptions!B6*9*Assumptions!B11-Assumptions!B6*Assumptions!B10))</f>
        <v>1.42088997980515</v>
      </c>
      <c r="D6" s="11">
        <f>(('Operating Model'!G8*$A6-'Debt Schedule'!G8)/(Assumptions!B6*10+Assumptions!B6*10*Assumptions!B11-Assumptions!B6*Assumptions!B10))</f>
        <v>1.1421769453049093</v>
      </c>
      <c r="E6" s="11">
        <f>(('Operating Model'!G8*$A6-'Debt Schedule'!G8)/(Assumptions!B6*11+Assumptions!B6*11*Assumptions!B11-Assumptions!B6*Assumptions!B10))</f>
        <v>0.9548746166536215</v>
      </c>
      <c r="F6" s="11">
        <f>(('Operating Model'!G8*$A6-'Debt Schedule'!G8)/(Assumptions!B6*12+Assumptions!B6*12*Assumptions!B11-Assumptions!B6*Assumptions!B10))</f>
        <v>0.82034808226319422</v>
      </c>
    </row>
    <row r="7" spans="1:6" x14ac:dyDescent="0.35">
      <c r="A7" s="10">
        <v>9</v>
      </c>
      <c r="B7" s="11">
        <f>(('Operating Model'!G8*$A7-'Debt Schedule'!G8)/(Assumptions!B6*8+Assumptions!B6*8*Assumptions!B11-Assumptions!B6*Assumptions!B10))</f>
        <v>2.3028865440513235</v>
      </c>
      <c r="C7" s="11">
        <f>(('Operating Model'!G8*$A7-'Debt Schedule'!G8)/(Assumptions!B6*9+Assumptions!B6*9*Assumptions!B11-Assumptions!B6*Assumptions!B10))</f>
        <v>1.740938152919183</v>
      </c>
      <c r="D7" s="11">
        <f>(('Operating Model'!G8*$A7-'Debt Schedule'!G8)/(Assumptions!B6*10+Assumptions!B6*10*Assumptions!B11-Assumptions!B6*Assumptions!B10))</f>
        <v>1.3994464383081127</v>
      </c>
      <c r="E7" s="11">
        <f>(('Operating Model'!G8*$A7-'Debt Schedule'!G8)/(Assumptions!B6*11+Assumptions!B6*11*Assumptions!B11-Assumptions!B6*Assumptions!B10))</f>
        <v>1.1699552217366853</v>
      </c>
      <c r="F7" s="11">
        <f>(('Operating Model'!G8*$A7-'Debt Schedule'!G8)/(Assumptions!B6*12+Assumptions!B6*12*Assumptions!B11-Assumptions!B6*Assumptions!B10))</f>
        <v>1.0051272761328984</v>
      </c>
    </row>
    <row r="8" spans="1:6" x14ac:dyDescent="0.35">
      <c r="A8" s="10">
        <v>10</v>
      </c>
      <c r="B8" s="11">
        <f>(('Operating Model'!G8*$A8-'Debt Schedule'!G8)/(Assumptions!B6*8+Assumptions!B6*8*Assumptions!B11-Assumptions!B6*Assumptions!B10))</f>
        <v>2.7262414059553288</v>
      </c>
      <c r="C8" s="11">
        <f>(('Operating Model'!G8*$A8-'Debt Schedule'!G8)/(Assumptions!B6*9+Assumptions!B6*9*Assumptions!B11-Assumptions!B6*Assumptions!B10))</f>
        <v>2.0609863260332157</v>
      </c>
      <c r="D8" s="11">
        <f>(('Operating Model'!G8*$A8-'Debt Schedule'!G8)/(Assumptions!B6*10+Assumptions!B6*10*Assumptions!B11-Assumptions!B6*Assumptions!B10))</f>
        <v>1.656715931311316</v>
      </c>
      <c r="E8" s="11">
        <f>(('Operating Model'!G8*$A8-'Debt Schedule'!G8)/(Assumptions!B6*11+Assumptions!B6*11*Assumptions!B11-Assumptions!B6*Assumptions!B10))</f>
        <v>1.3850358268197491</v>
      </c>
      <c r="F8" s="11">
        <f>(('Operating Model'!G8*$A8-'Debt Schedule'!G8)/(Assumptions!B6*12+Assumptions!B6*12*Assumptions!B11-Assumptions!B6*Assumptions!B10))</f>
        <v>1.1899064700026023</v>
      </c>
    </row>
    <row r="9" spans="1:6" x14ac:dyDescent="0.35">
      <c r="A9" s="10">
        <v>11</v>
      </c>
      <c r="B9" s="11">
        <f>(('Operating Model'!G8*$A9-'Debt Schedule'!G8)/(Assumptions!B6*8+Assumptions!B6*8*Assumptions!B11-Assumptions!B6*Assumptions!B10))</f>
        <v>3.1495962678593346</v>
      </c>
      <c r="C9" s="11">
        <f>(('Operating Model'!G8*$A9-'Debt Schedule'!G8)/(Assumptions!B6*9+Assumptions!B6*9*Assumptions!B11-Assumptions!B6*Assumptions!B10))</f>
        <v>2.381034499147249</v>
      </c>
      <c r="D9" s="11">
        <f>(('Operating Model'!G8*$A9-'Debt Schedule'!G8)/(Assumptions!B6*10+Assumptions!B6*10*Assumptions!B11-Assumptions!B6*Assumptions!B10))</f>
        <v>1.9139854243145198</v>
      </c>
      <c r="E9" s="11">
        <f>(('Operating Model'!G8*$A9-'Debt Schedule'!G8)/(Assumptions!B6*11+Assumptions!B6*11*Assumptions!B11-Assumptions!B6*Assumptions!B10))</f>
        <v>1.6001164319028132</v>
      </c>
      <c r="F9" s="11">
        <f>(('Operating Model'!G8*$A9-'Debt Schedule'!G8)/(Assumptions!B6*12+Assumptions!B6*12*Assumptions!B11-Assumptions!B6*Assumptions!B10))</f>
        <v>1.3746856638723066</v>
      </c>
    </row>
    <row r="10" spans="1:6" x14ac:dyDescent="0.35">
      <c r="A10" s="7"/>
      <c r="B10" s="7"/>
      <c r="C10" s="7"/>
      <c r="D10" s="7"/>
      <c r="E10" s="7"/>
      <c r="F10" s="7"/>
    </row>
    <row r="11" spans="1:6" x14ac:dyDescent="0.35">
      <c r="A11" s="7"/>
      <c r="B11" s="7"/>
      <c r="C11" s="7"/>
      <c r="D11" s="7"/>
      <c r="E11" s="7"/>
      <c r="F11" s="7"/>
    </row>
    <row r="12" spans="1:6" x14ac:dyDescent="0.35">
      <c r="A12" s="12" t="s">
        <v>120</v>
      </c>
      <c r="B12" s="13" t="s">
        <v>121</v>
      </c>
      <c r="C12" s="5"/>
      <c r="D12" s="5"/>
      <c r="E12" s="5"/>
      <c r="F12" s="5"/>
    </row>
    <row r="13" spans="1:6" x14ac:dyDescent="0.35">
      <c r="A13" s="7"/>
      <c r="B13" s="5"/>
      <c r="C13" s="5"/>
      <c r="D13" s="5"/>
      <c r="E13" s="5"/>
      <c r="F13" s="5"/>
    </row>
  </sheetData>
  <autoFilter ref="A1:F13" xr:uid="{00000000-0009-0000-0000-000005000000}"/>
  <mergeCells count="3">
    <mergeCell ref="A2:F2"/>
    <mergeCell ref="A1:F1"/>
    <mergeCell ref="B12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showGridLines="0" workbookViewId="0">
      <pane xSplit="1" ySplit="3" topLeftCell="B7" activePane="bottomRight" state="frozen"/>
      <selection pane="topRight"/>
      <selection pane="bottomLeft"/>
      <selection pane="bottomRight" sqref="A1:D11"/>
    </sheetView>
  </sheetViews>
  <sheetFormatPr defaultRowHeight="14.5" x14ac:dyDescent="0.35"/>
  <cols>
    <col min="1" max="1" width="21.08984375" bestFit="1" customWidth="1"/>
    <col min="2" max="4" width="35" customWidth="1"/>
  </cols>
  <sheetData>
    <row r="1" spans="1:4" ht="28" customHeight="1" x14ac:dyDescent="0.35">
      <c r="A1" s="4" t="s">
        <v>122</v>
      </c>
      <c r="B1" s="5"/>
      <c r="C1" s="5"/>
      <c r="D1" s="5"/>
    </row>
    <row r="2" spans="1:4" x14ac:dyDescent="0.35">
      <c r="A2" s="6" t="s">
        <v>123</v>
      </c>
      <c r="B2" s="5"/>
      <c r="C2" s="5"/>
      <c r="D2" s="5"/>
    </row>
    <row r="3" spans="1:4" x14ac:dyDescent="0.35">
      <c r="A3" s="7"/>
      <c r="B3" s="7"/>
      <c r="C3" s="7"/>
      <c r="D3" s="7"/>
    </row>
    <row r="4" spans="1:4" ht="28" customHeight="1" x14ac:dyDescent="0.35">
      <c r="A4" s="8" t="s">
        <v>124</v>
      </c>
      <c r="B4" s="9" t="s">
        <v>125</v>
      </c>
      <c r="C4" s="5"/>
      <c r="D4" s="5"/>
    </row>
    <row r="5" spans="1:4" ht="28" customHeight="1" x14ac:dyDescent="0.35">
      <c r="A5" s="8" t="s">
        <v>4</v>
      </c>
      <c r="B5" s="9" t="s">
        <v>126</v>
      </c>
      <c r="C5" s="5"/>
      <c r="D5" s="5"/>
    </row>
    <row r="6" spans="1:4" ht="28" customHeight="1" x14ac:dyDescent="0.35">
      <c r="A6" s="8" t="s">
        <v>127</v>
      </c>
      <c r="B6" s="9" t="s">
        <v>128</v>
      </c>
      <c r="C6" s="5"/>
      <c r="D6" s="5"/>
    </row>
    <row r="7" spans="1:4" ht="38" customHeight="1" x14ac:dyDescent="0.35">
      <c r="A7" s="8" t="s">
        <v>129</v>
      </c>
      <c r="B7" s="9" t="s">
        <v>130</v>
      </c>
      <c r="C7" s="5"/>
      <c r="D7" s="5"/>
    </row>
    <row r="8" spans="1:4" ht="38" customHeight="1" x14ac:dyDescent="0.35">
      <c r="A8" s="8" t="s">
        <v>131</v>
      </c>
      <c r="B8" s="9" t="s">
        <v>132</v>
      </c>
      <c r="C8" s="5"/>
      <c r="D8" s="5"/>
    </row>
    <row r="9" spans="1:4" ht="38" customHeight="1" x14ac:dyDescent="0.35">
      <c r="A9" s="8" t="s">
        <v>133</v>
      </c>
      <c r="B9" s="9" t="s">
        <v>134</v>
      </c>
      <c r="C9" s="5"/>
      <c r="D9" s="5"/>
    </row>
    <row r="10" spans="1:4" ht="38" customHeight="1" x14ac:dyDescent="0.35">
      <c r="A10" s="8" t="s">
        <v>135</v>
      </c>
      <c r="B10" s="9" t="s">
        <v>136</v>
      </c>
      <c r="C10" s="5"/>
      <c r="D10" s="5"/>
    </row>
    <row r="11" spans="1:4" ht="38" customHeight="1" x14ac:dyDescent="0.35">
      <c r="A11" s="8" t="s">
        <v>137</v>
      </c>
      <c r="B11" s="9" t="s">
        <v>138</v>
      </c>
      <c r="C11" s="5"/>
      <c r="D11" s="5"/>
    </row>
  </sheetData>
  <autoFilter ref="A1:D11" xr:uid="{00000000-0009-0000-0000-000006000000}"/>
  <mergeCells count="10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Historical</vt:lpstr>
      <vt:lpstr>Operating Model</vt:lpstr>
      <vt:lpstr>Debt Schedule</vt:lpstr>
      <vt:lpstr>Returns</vt:lpstr>
      <vt:lpstr>Sensitivity</vt:lpstr>
      <vt:lpstr>Model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gupta</cp:lastModifiedBy>
  <dcterms:created xsi:type="dcterms:W3CDTF">2026-10-16T11:27:22Z</dcterms:created>
  <dcterms:modified xsi:type="dcterms:W3CDTF">2026-10-16T11:40:18Z</dcterms:modified>
</cp:coreProperties>
</file>