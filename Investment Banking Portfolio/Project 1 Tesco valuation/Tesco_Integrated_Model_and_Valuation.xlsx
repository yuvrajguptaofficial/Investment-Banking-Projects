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Investment Banking Portfolio\Project 1 Tesco valuation\"/>
    </mc:Choice>
  </mc:AlternateContent>
  <xr:revisionPtr revIDLastSave="0" documentId="13_ncr:1_{D7093E9E-F3E2-4502-9706-5635AC2C4833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Read Me" sheetId="1" r:id="rId1"/>
    <sheet name="Sources &amp; Assumptions" sheetId="2" r:id="rId2"/>
    <sheet name="Operating Model" sheetId="3" r:id="rId3"/>
    <sheet name="DCF &amp; Sensitivity" sheetId="4" r:id="rId4"/>
    <sheet name="Comps &amp; 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5" l="1"/>
  <c r="C6" i="5"/>
  <c r="B20" i="4"/>
  <c r="B18" i="4"/>
  <c r="B16" i="4"/>
  <c r="G8" i="4"/>
  <c r="F8" i="4"/>
  <c r="E8" i="4"/>
  <c r="D8" i="4"/>
  <c r="C8" i="4"/>
  <c r="B8" i="4"/>
  <c r="G7" i="4"/>
  <c r="B16" i="3"/>
  <c r="B14" i="3"/>
  <c r="B7" i="3"/>
  <c r="B11" i="3" s="1"/>
  <c r="B12" i="3" s="1"/>
  <c r="G6" i="3"/>
  <c r="F6" i="3"/>
  <c r="E6" i="3"/>
  <c r="D6" i="3"/>
  <c r="C6" i="3"/>
  <c r="B6" i="3"/>
  <c r="B5" i="3"/>
  <c r="B8" i="3" s="1"/>
  <c r="B18" i="2"/>
  <c r="C5" i="3" l="1"/>
  <c r="B9" i="3"/>
  <c r="B10" i="3" s="1"/>
  <c r="B13" i="3"/>
  <c r="C14" i="3" l="1"/>
  <c r="C7" i="3"/>
  <c r="D5" i="3"/>
  <c r="C13" i="3"/>
  <c r="C9" i="3"/>
  <c r="B15" i="3"/>
  <c r="C10" i="3" l="1"/>
  <c r="C11" i="3"/>
  <c r="C8" i="3"/>
  <c r="C12" i="3"/>
  <c r="C15" i="3" s="1"/>
  <c r="D7" i="3"/>
  <c r="D14" i="3"/>
  <c r="D9" i="3"/>
  <c r="D13" i="3"/>
  <c r="E5" i="3"/>
  <c r="B6" i="4" l="1"/>
  <c r="B9" i="4" s="1"/>
  <c r="C16" i="3"/>
  <c r="D11" i="3"/>
  <c r="D12" i="3" s="1"/>
  <c r="D15" i="3" s="1"/>
  <c r="D10" i="3"/>
  <c r="D8" i="3"/>
  <c r="E7" i="3"/>
  <c r="F5" i="3"/>
  <c r="E13" i="3"/>
  <c r="E9" i="3"/>
  <c r="E14" i="3"/>
  <c r="C6" i="4" l="1"/>
  <c r="C9" i="4" s="1"/>
  <c r="E11" i="3"/>
  <c r="E12" i="3" s="1"/>
  <c r="E15" i="3" s="1"/>
  <c r="E8" i="3"/>
  <c r="E10" i="3"/>
  <c r="D16" i="3"/>
  <c r="F7" i="3"/>
  <c r="G5" i="3"/>
  <c r="F13" i="3"/>
  <c r="F9" i="3"/>
  <c r="F14" i="3"/>
  <c r="D6" i="4" l="1"/>
  <c r="D9" i="4" s="1"/>
  <c r="E16" i="3"/>
  <c r="G13" i="3"/>
  <c r="G9" i="3"/>
  <c r="G14" i="3"/>
  <c r="G7" i="3"/>
  <c r="F8" i="3"/>
  <c r="F12" i="3"/>
  <c r="F15" i="3" s="1"/>
  <c r="E6" i="4" s="1"/>
  <c r="E9" i="4" s="1"/>
  <c r="F11" i="3"/>
  <c r="F10" i="3"/>
  <c r="G8" i="3" l="1"/>
  <c r="G10" i="3"/>
  <c r="G11" i="3"/>
  <c r="G12" i="3" s="1"/>
  <c r="G15" i="3" s="1"/>
  <c r="F16" i="3"/>
  <c r="B15" i="5" l="1"/>
  <c r="F6" i="4"/>
  <c r="D26" i="4"/>
  <c r="B28" i="4"/>
  <c r="D30" i="4"/>
  <c r="E26" i="4"/>
  <c r="B30" i="4"/>
  <c r="F29" i="4"/>
  <c r="E28" i="4"/>
  <c r="F27" i="4"/>
  <c r="B26" i="4"/>
  <c r="F30" i="4"/>
  <c r="F28" i="4"/>
  <c r="E27" i="4"/>
  <c r="E30" i="4"/>
  <c r="C29" i="4"/>
  <c r="C30" i="4"/>
  <c r="D29" i="4"/>
  <c r="F26" i="4"/>
  <c r="B29" i="4"/>
  <c r="B27" i="4"/>
  <c r="D28" i="4"/>
  <c r="C28" i="4"/>
  <c r="E29" i="4"/>
  <c r="C27" i="4"/>
  <c r="C26" i="4"/>
  <c r="D27" i="4"/>
  <c r="B14" i="5"/>
  <c r="B6" i="5"/>
  <c r="D6" i="5" s="1"/>
  <c r="E6" i="5" s="1"/>
  <c r="F6" i="5" s="1"/>
  <c r="B11" i="5" s="1"/>
  <c r="G16" i="3"/>
  <c r="G6" i="4" l="1"/>
  <c r="G9" i="4" s="1"/>
  <c r="B14" i="4" s="1"/>
  <c r="F9" i="4"/>
  <c r="B13" i="4" s="1"/>
  <c r="B15" i="4" s="1"/>
  <c r="B17" i="4" s="1"/>
  <c r="B19" i="4" s="1"/>
  <c r="B21" i="4" l="1"/>
  <c r="B13" i="5" s="1"/>
  <c r="B10" i="5"/>
</calcChain>
</file>

<file path=xl/sharedStrings.xml><?xml version="1.0" encoding="utf-8"?>
<sst xmlns="http://schemas.openxmlformats.org/spreadsheetml/2006/main" count="177" uniqueCount="132">
  <si>
    <t>TESCO PLC | INTEGRATED MODEL &amp; VALUATION</t>
  </si>
  <si>
    <t>FY2026 public headline data with illustrative forward assumptions | £m unless stated</t>
  </si>
  <si>
    <t>PROJECT SCOPE</t>
  </si>
  <si>
    <t>Objective</t>
  </si>
  <si>
    <t>Driver-based forecast, simplified unlevered cash flow, DCF, EV/EBITDA cross-check and sensitivities.</t>
  </si>
  <si>
    <t>Reported anchor</t>
  </si>
  <si>
    <t>Tesco FY2025/26 preliminary results: sales £66,588m; adjusted operating profit £3,152m; FCF £1,957m; net debt £10,563m.</t>
  </si>
  <si>
    <t>Model caveat</t>
  </si>
  <si>
    <t>This is not a full statutory three-statement model. Several operating drivers, share count, WACC, terminal growth, multiple and reference share price are assumptions.</t>
  </si>
  <si>
    <t>How to use</t>
  </si>
  <si>
    <t>Review Sources &amp; Assumptions, then Operating Model, DCF &amp; Sensitivity, and Comps &amp; Summary. Yellow cells are editable assumptions.</t>
  </si>
  <si>
    <t>Sources</t>
  </si>
  <si>
    <t>https://www.tescoplc.com/preliminary-results-202526 | https://www.tescoplc.com/investors/reports-results-and-presentations/annual-report-2026</t>
  </si>
  <si>
    <t>SOURCES &amp; ASSUMPTIONS</t>
  </si>
  <si>
    <t>Reported data is green; editable analyst assumptions are yellow.</t>
  </si>
  <si>
    <t>REPORTED FY2026 HEADLINE DATA</t>
  </si>
  <si>
    <t>Metric</t>
  </si>
  <si>
    <t>Value</t>
  </si>
  <si>
    <t>Units</t>
  </si>
  <si>
    <t>Source / definition</t>
  </si>
  <si>
    <t>Status</t>
  </si>
  <si>
    <t>Sales (ex VAT, ex fuel)</t>
  </si>
  <si>
    <t>£m</t>
  </si>
  <si>
    <t>Tesco FY2025/26 preliminary results, 52-week comparable basis</t>
  </si>
  <si>
    <t>Reported</t>
  </si>
  <si>
    <t>Adjusted operating profit</t>
  </si>
  <si>
    <t>Tesco FY2025/26 preliminary results, comparable basis</t>
  </si>
  <si>
    <t>Free cash flow</t>
  </si>
  <si>
    <t>Company-defined APM</t>
  </si>
  <si>
    <t>Net debt</t>
  </si>
  <si>
    <t>Company APM at balance-sheet date</t>
  </si>
  <si>
    <t>Adjusted diluted EPS</t>
  </si>
  <si>
    <t>£/share</t>
  </si>
  <si>
    <t>29.0p in FY2025/26 results</t>
  </si>
  <si>
    <t>Sales growth</t>
  </si>
  <si>
    <t>%</t>
  </si>
  <si>
    <t>Company-reported comparable sales growth</t>
  </si>
  <si>
    <t>Adjusted operating profit growth</t>
  </si>
  <si>
    <t>Company-reported growth</t>
  </si>
  <si>
    <t>ANALYST ASSUMPTIONS — EDITABLE</t>
  </si>
  <si>
    <t>Assumption</t>
  </si>
  <si>
    <t>Rationale / caveat</t>
  </si>
  <si>
    <t>Forecast sales growth</t>
  </si>
  <si>
    <t>% per year</t>
  </si>
  <si>
    <t>Moderates recent growth; not company guidance</t>
  </si>
  <si>
    <t>Analyst assumption</t>
  </si>
  <si>
    <t>Adjusted operating margin</t>
  </si>
  <si>
    <t>% of sales</t>
  </si>
  <si>
    <t>Anchored to FY2026 adjusted operating profit / sales</t>
  </si>
  <si>
    <t>Calculated/reported</t>
  </si>
  <si>
    <t>D&amp;A</t>
  </si>
  <si>
    <t>Simplified proxy; replace with annual-report detail</t>
  </si>
  <si>
    <t>Capital expenditure</t>
  </si>
  <si>
    <t>Change in NWC</t>
  </si>
  <si>
    <t>% of incremental sales</t>
  </si>
  <si>
    <t>Illustrative working-capital investment</t>
  </si>
  <si>
    <t>Cash tax rate</t>
  </si>
  <si>
    <t>% of EBIT</t>
  </si>
  <si>
    <t>Simplified normalized assumption</t>
  </si>
  <si>
    <t>WACC</t>
  </si>
  <si>
    <t>Illustrative; not calibrated to live market data</t>
  </si>
  <si>
    <t>Terminal growth</t>
  </si>
  <si>
    <t>Long-run growth; must remain below WACC</t>
  </si>
  <si>
    <t>EV / EBITDA multiple</t>
  </si>
  <si>
    <t>x</t>
  </si>
  <si>
    <t>Illustrative cross-check, not a sourced peer median</t>
  </si>
  <si>
    <t>Reported FY2026 company APM</t>
  </si>
  <si>
    <t>Diluted shares</t>
  </si>
  <si>
    <t>m shares</t>
  </si>
  <si>
    <t>Illustrative rounded assumption; verify filing</t>
  </si>
  <si>
    <t>Reference share price</t>
  </si>
  <si>
    <t>Illustrative reference price, not a live quote</t>
  </si>
  <si>
    <t>Primary source</t>
  </si>
  <si>
    <t>https://www.tescoplc.com/preliminary-results-202526</t>
  </si>
  <si>
    <t>Annual report</t>
  </si>
  <si>
    <t>https://www.tescoplc.com/investors/reports-results-and-presentations/annual-report-2026</t>
  </si>
  <si>
    <t>FIVE-YEAR OPERATING MODEL</t>
  </si>
  <si>
    <t>FY2026 reported anchor; FY2027–FY2031 illustrative forecast | £m</t>
  </si>
  <si>
    <t>FY2026A</t>
  </si>
  <si>
    <t>FY2027E</t>
  </si>
  <si>
    <t>FY2028E</t>
  </si>
  <si>
    <t>FY2029E</t>
  </si>
  <si>
    <t>FY2030E</t>
  </si>
  <si>
    <t>FY2031E</t>
  </si>
  <si>
    <t>Sales</t>
  </si>
  <si>
    <t>Operating margin</t>
  </si>
  <si>
    <t>EBITDA</t>
  </si>
  <si>
    <t>Cash taxes</t>
  </si>
  <si>
    <t>NOPAT</t>
  </si>
  <si>
    <t>Unlevered free cash flow</t>
  </si>
  <si>
    <t>Illustrative net debt</t>
  </si>
  <si>
    <t>DCF &amp; SENSITIVITY</t>
  </si>
  <si>
    <t>Unlevered DCF; assumptions are illustrative, not live market calibration.</t>
  </si>
  <si>
    <t>DISCOUNTED CASH FLOW</t>
  </si>
  <si>
    <t>Terminal</t>
  </si>
  <si>
    <t>UFCF</t>
  </si>
  <si>
    <t>Period</t>
  </si>
  <si>
    <t>Discount factor</t>
  </si>
  <si>
    <t>Present value</t>
  </si>
  <si>
    <t>VALUATION BRIDGE</t>
  </si>
  <si>
    <t>PV forecast UFCF</t>
  </si>
  <si>
    <t>PV terminal value</t>
  </si>
  <si>
    <t>Enterprise value</t>
  </si>
  <si>
    <t>Less net debt</t>
  </si>
  <si>
    <t>Equity value</t>
  </si>
  <si>
    <t>Diluted shares (m)</t>
  </si>
  <si>
    <t>Implied value/share</t>
  </si>
  <si>
    <t>Upside / (downside)</t>
  </si>
  <si>
    <t>WACC / TERMINAL GROWTH SENSITIVITY — IMPLIED VALUE PER SHARE</t>
  </si>
  <si>
    <t>WACC / g</t>
  </si>
  <si>
    <t>VALUATION SUMMARY</t>
  </si>
  <si>
    <t>EV/EBITDA cross-check multiple is illustrative, not a live peer median.</t>
  </si>
  <si>
    <t>ILLUSTRATIVE EV / EBITDA CROSS-CHECK</t>
  </si>
  <si>
    <t>Method</t>
  </si>
  <si>
    <t>EBITDA (£m)</t>
  </si>
  <si>
    <t>Multiple</t>
  </si>
  <si>
    <t>EV (£m)</t>
  </si>
  <si>
    <t>Equity value (£m)</t>
  </si>
  <si>
    <t>Value/share</t>
  </si>
  <si>
    <t>EV / EBITDA</t>
  </si>
  <si>
    <t>KEY OUTPUTS</t>
  </si>
  <si>
    <t>DCF implied value/share</t>
  </si>
  <si>
    <t>EV/EBITDA value/share</t>
  </si>
  <si>
    <t>DCF upside / downside</t>
  </si>
  <si>
    <t>FY2031 EBITDA (£m)</t>
  </si>
  <si>
    <t>FY2031 UFCF (£m)</t>
  </si>
  <si>
    <t>INVESTMENT CONSIDERATIONS</t>
  </si>
  <si>
    <t>Scale and customer proposition support resilience, but grocery retail is intensely competitive.</t>
  </si>
  <si>
    <t>Labour, energy, pricing and capex can pressure margins and free cash flow.</t>
  </si>
  <si>
    <t>DCF is highly sensitive to WACC, terminal growth, margin and capital intensity.</t>
  </si>
  <si>
    <t>Lease liabilities and adjusted metric definitions complicate peer comparisons.</t>
  </si>
  <si>
    <t>Educational framework only; not a buy/sell recommendation.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</si>
</sst>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\£0.000"/>
    <numFmt numFmtId="166" formatCode="0.0%"/>
    <numFmt numFmtId="167" formatCode="0.0\x"/>
    <numFmt numFmtId="168" formatCode="\£0.00"/>
    <numFmt numFmtId="169" formatCode="#,##0.0;[Red]\(#,##0.0\);\-"/>
  </numFmts>
  <fonts count="8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9"/>
      <color rgb="FF555555"/>
      <name val="Arial"/>
    </font>
    <font>
      <b/>
      <sz val="11"/>
      <color rgb="FF17365D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00FF"/>
      <name val="Calibri"/>
    </font>
    <font>
      <sz val="12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7">
    <xf numFmtId="0" fontId="0" fillId="0" borderId="0" xfId="0"/>
    <xf numFmtId="166" fontId="0" fillId="0" borderId="0" xfId="0" applyNumberFormat="1"/>
    <xf numFmtId="168" fontId="0" fillId="0" borderId="0" xfId="0" applyNumberFormat="1"/>
    <xf numFmtId="0" fontId="0" fillId="0" borderId="0" xfId="0"/>
    <xf numFmtId="0" fontId="3" fillId="3" borderId="0" xfId="0" applyFont="1" applyFill="1"/>
    <xf numFmtId="0" fontId="7" fillId="0" borderId="0" xfId="1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3" fillId="3" borderId="1" xfId="0" applyFont="1" applyFill="1" applyBorder="1"/>
    <xf numFmtId="0" fontId="3" fillId="0" borderId="1" xfId="0" applyFont="1" applyBorder="1"/>
    <xf numFmtId="0" fontId="0" fillId="0" borderId="1" xfId="0" applyBorder="1" applyAlignment="1">
      <alignment vertical="center" wrapText="1"/>
    </xf>
    <xf numFmtId="0" fontId="4" fillId="4" borderId="1" xfId="0" applyFont="1" applyFill="1" applyBorder="1" applyAlignment="1">
      <alignment horizontal="center" wrapText="1"/>
    </xf>
    <xf numFmtId="164" fontId="5" fillId="0" borderId="1" xfId="0" applyNumberFormat="1" applyFont="1" applyBorder="1"/>
    <xf numFmtId="0" fontId="0" fillId="0" borderId="1" xfId="0" applyBorder="1" applyAlignment="1">
      <alignment wrapText="1"/>
    </xf>
    <xf numFmtId="165" fontId="5" fillId="0" borderId="1" xfId="0" applyNumberFormat="1" applyFont="1" applyBorder="1"/>
    <xf numFmtId="166" fontId="5" fillId="0" borderId="1" xfId="0" applyNumberFormat="1" applyFont="1" applyBorder="1"/>
    <xf numFmtId="166" fontId="6" fillId="5" borderId="1" xfId="0" applyNumberFormat="1" applyFont="1" applyFill="1" applyBorder="1"/>
    <xf numFmtId="167" fontId="6" fillId="5" borderId="1" xfId="0" applyNumberFormat="1" applyFont="1" applyFill="1" applyBorder="1"/>
    <xf numFmtId="164" fontId="6" fillId="5" borderId="1" xfId="0" applyNumberFormat="1" applyFont="1" applyFill="1" applyBorder="1"/>
    <xf numFmtId="168" fontId="6" fillId="5" borderId="1" xfId="0" applyNumberFormat="1" applyFont="1" applyFill="1" applyBorder="1"/>
    <xf numFmtId="169" fontId="5" fillId="0" borderId="1" xfId="0" applyNumberFormat="1" applyFont="1" applyBorder="1"/>
    <xf numFmtId="168" fontId="5" fillId="0" borderId="1" xfId="0" applyNumberFormat="1" applyFont="1" applyBorder="1"/>
    <xf numFmtId="0" fontId="5" fillId="0" borderId="1" xfId="0" applyFont="1" applyBorder="1"/>
    <xf numFmtId="167" fontId="5" fillId="0" borderId="1" xfId="0" applyNumberFormat="1" applyFont="1" applyBorder="1"/>
    <xf numFmtId="0" fontId="0" fillId="0" borderId="1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escoplc.com/investors/reports-results-and-presentations/annual-report-2026" TargetMode="External"/><Relationship Id="rId1" Type="http://schemas.openxmlformats.org/officeDocument/2006/relationships/hyperlink" Target="https://www.tescoplc.com/preliminary-results-2025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I5" sqref="I5"/>
    </sheetView>
  </sheetViews>
  <sheetFormatPr defaultRowHeight="14.5" x14ac:dyDescent="0.35"/>
  <cols>
    <col min="1" max="1" width="15" bestFit="1" customWidth="1"/>
    <col min="2" max="2" width="24" customWidth="1"/>
    <col min="3" max="7" width="18" customWidth="1"/>
  </cols>
  <sheetData>
    <row r="1" spans="1:7" ht="30" customHeight="1" x14ac:dyDescent="0.4">
      <c r="A1" s="6" t="s">
        <v>0</v>
      </c>
      <c r="B1" s="7"/>
      <c r="C1" s="7"/>
      <c r="D1" s="7"/>
      <c r="E1" s="7"/>
      <c r="F1" s="7"/>
      <c r="G1" s="7"/>
    </row>
    <row r="2" spans="1:7" x14ac:dyDescent="0.35">
      <c r="A2" s="8" t="s">
        <v>1</v>
      </c>
      <c r="B2" s="7"/>
      <c r="C2" s="7"/>
      <c r="D2" s="7"/>
      <c r="E2" s="7"/>
      <c r="F2" s="7"/>
      <c r="G2" s="7"/>
    </row>
    <row r="3" spans="1:7" x14ac:dyDescent="0.35">
      <c r="A3" s="9"/>
      <c r="B3" s="9"/>
      <c r="C3" s="9"/>
      <c r="D3" s="9"/>
      <c r="E3" s="9"/>
      <c r="F3" s="9"/>
      <c r="G3" s="9"/>
    </row>
    <row r="4" spans="1:7" x14ac:dyDescent="0.35">
      <c r="A4" s="10" t="s">
        <v>2</v>
      </c>
      <c r="B4" s="7"/>
      <c r="C4" s="7"/>
      <c r="D4" s="7"/>
      <c r="E4" s="7"/>
      <c r="F4" s="7"/>
      <c r="G4" s="7"/>
    </row>
    <row r="5" spans="1:7" ht="40" customHeight="1" x14ac:dyDescent="0.35">
      <c r="A5" s="11" t="s">
        <v>3</v>
      </c>
      <c r="B5" s="12" t="s">
        <v>4</v>
      </c>
      <c r="C5" s="7"/>
      <c r="D5" s="7"/>
      <c r="E5" s="7"/>
      <c r="F5" s="7"/>
      <c r="G5" s="7"/>
    </row>
    <row r="6" spans="1:7" ht="40" customHeight="1" x14ac:dyDescent="0.35">
      <c r="A6" s="11" t="s">
        <v>5</v>
      </c>
      <c r="B6" s="12" t="s">
        <v>6</v>
      </c>
      <c r="C6" s="7"/>
      <c r="D6" s="7"/>
      <c r="E6" s="7"/>
      <c r="F6" s="7"/>
      <c r="G6" s="7"/>
    </row>
    <row r="7" spans="1:7" ht="40" customHeight="1" x14ac:dyDescent="0.35">
      <c r="A7" s="11" t="s">
        <v>7</v>
      </c>
      <c r="B7" s="12" t="s">
        <v>8</v>
      </c>
      <c r="C7" s="7"/>
      <c r="D7" s="7"/>
      <c r="E7" s="7"/>
      <c r="F7" s="7"/>
      <c r="G7" s="7"/>
    </row>
    <row r="8" spans="1:7" ht="40" customHeight="1" x14ac:dyDescent="0.35">
      <c r="A8" s="11" t="s">
        <v>9</v>
      </c>
      <c r="B8" s="12" t="s">
        <v>10</v>
      </c>
      <c r="C8" s="7"/>
      <c r="D8" s="7"/>
      <c r="E8" s="7"/>
      <c r="F8" s="7"/>
      <c r="G8" s="7"/>
    </row>
    <row r="9" spans="1:7" ht="40" customHeight="1" x14ac:dyDescent="0.35">
      <c r="A9" s="11" t="s">
        <v>11</v>
      </c>
      <c r="B9" s="12" t="s">
        <v>12</v>
      </c>
      <c r="C9" s="7"/>
      <c r="D9" s="7"/>
      <c r="E9" s="7"/>
      <c r="F9" s="7"/>
      <c r="G9" s="7"/>
    </row>
  </sheetData>
  <mergeCells count="8">
    <mergeCell ref="A1:G1"/>
    <mergeCell ref="B5:G5"/>
    <mergeCell ref="B9:G9"/>
    <mergeCell ref="A4:G4"/>
    <mergeCell ref="B8:G8"/>
    <mergeCell ref="A2:G2"/>
    <mergeCell ref="B7:G7"/>
    <mergeCell ref="B6:G6"/>
  </mergeCells>
  <pageMargins left="0.75" right="0.75" top="1" bottom="1" header="0.5" footer="0.5"/>
  <headerFooter>
    <oddFooter>&amp;CEducational portfolio model | Not investment advice | Verify all figures and assumptions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showGridLines="0" workbookViewId="0">
      <pane xSplit="1" ySplit="3" topLeftCell="B14" activePane="bottomRight" state="frozen"/>
      <selection pane="topRight"/>
      <selection pane="bottomLeft"/>
      <selection pane="bottomRight" activeCell="G15" sqref="G15"/>
    </sheetView>
  </sheetViews>
  <sheetFormatPr defaultRowHeight="14.5" x14ac:dyDescent="0.35"/>
  <cols>
    <col min="1" max="1" width="28.453125" bestFit="1" customWidth="1"/>
    <col min="2" max="2" width="7.81640625" bestFit="1" customWidth="1"/>
    <col min="3" max="3" width="19.54296875" bestFit="1" customWidth="1"/>
    <col min="4" max="4" width="54.6328125" bestFit="1" customWidth="1"/>
    <col min="5" max="5" width="17.81640625" bestFit="1" customWidth="1"/>
  </cols>
  <sheetData>
    <row r="1" spans="1:5" ht="30" customHeight="1" x14ac:dyDescent="0.4">
      <c r="A1" s="6" t="s">
        <v>13</v>
      </c>
      <c r="B1" s="7"/>
      <c r="C1" s="7"/>
      <c r="D1" s="7"/>
      <c r="E1" s="7"/>
    </row>
    <row r="2" spans="1:5" x14ac:dyDescent="0.35">
      <c r="A2" s="8" t="s">
        <v>14</v>
      </c>
      <c r="B2" s="7"/>
      <c r="C2" s="7"/>
      <c r="D2" s="7"/>
      <c r="E2" s="7"/>
    </row>
    <row r="3" spans="1:5" x14ac:dyDescent="0.35">
      <c r="A3" s="9"/>
      <c r="B3" s="9"/>
      <c r="C3" s="9"/>
      <c r="D3" s="9"/>
      <c r="E3" s="9"/>
    </row>
    <row r="4" spans="1:5" x14ac:dyDescent="0.35">
      <c r="A4" s="10" t="s">
        <v>15</v>
      </c>
      <c r="B4" s="7"/>
      <c r="C4" s="7"/>
      <c r="D4" s="7"/>
      <c r="E4" s="7"/>
    </row>
    <row r="5" spans="1:5" x14ac:dyDescent="0.35">
      <c r="A5" s="13" t="s">
        <v>16</v>
      </c>
      <c r="B5" s="13" t="s">
        <v>17</v>
      </c>
      <c r="C5" s="13" t="s">
        <v>18</v>
      </c>
      <c r="D5" s="13" t="s">
        <v>19</v>
      </c>
      <c r="E5" s="13" t="s">
        <v>20</v>
      </c>
    </row>
    <row r="6" spans="1:5" x14ac:dyDescent="0.35">
      <c r="A6" s="9" t="s">
        <v>21</v>
      </c>
      <c r="B6" s="14">
        <v>66588</v>
      </c>
      <c r="C6" s="9" t="s">
        <v>22</v>
      </c>
      <c r="D6" s="15" t="s">
        <v>23</v>
      </c>
      <c r="E6" s="9" t="s">
        <v>24</v>
      </c>
    </row>
    <row r="7" spans="1:5" x14ac:dyDescent="0.35">
      <c r="A7" s="9" t="s">
        <v>25</v>
      </c>
      <c r="B7" s="14">
        <v>3152</v>
      </c>
      <c r="C7" s="9" t="s">
        <v>22</v>
      </c>
      <c r="D7" s="15" t="s">
        <v>26</v>
      </c>
      <c r="E7" s="9" t="s">
        <v>24</v>
      </c>
    </row>
    <row r="8" spans="1:5" x14ac:dyDescent="0.35">
      <c r="A8" s="9" t="s">
        <v>27</v>
      </c>
      <c r="B8" s="14">
        <v>1957</v>
      </c>
      <c r="C8" s="9" t="s">
        <v>22</v>
      </c>
      <c r="D8" s="15" t="s">
        <v>28</v>
      </c>
      <c r="E8" s="9" t="s">
        <v>24</v>
      </c>
    </row>
    <row r="9" spans="1:5" x14ac:dyDescent="0.35">
      <c r="A9" s="9" t="s">
        <v>29</v>
      </c>
      <c r="B9" s="14">
        <v>10563</v>
      </c>
      <c r="C9" s="9" t="s">
        <v>22</v>
      </c>
      <c r="D9" s="15" t="s">
        <v>30</v>
      </c>
      <c r="E9" s="9" t="s">
        <v>24</v>
      </c>
    </row>
    <row r="10" spans="1:5" x14ac:dyDescent="0.35">
      <c r="A10" s="9" t="s">
        <v>31</v>
      </c>
      <c r="B10" s="16">
        <v>0.28999999999999998</v>
      </c>
      <c r="C10" s="9" t="s">
        <v>32</v>
      </c>
      <c r="D10" s="15" t="s">
        <v>33</v>
      </c>
      <c r="E10" s="9" t="s">
        <v>24</v>
      </c>
    </row>
    <row r="11" spans="1:5" x14ac:dyDescent="0.35">
      <c r="A11" s="9" t="s">
        <v>34</v>
      </c>
      <c r="B11" s="17">
        <v>4.5999999999999999E-2</v>
      </c>
      <c r="C11" s="9" t="s">
        <v>35</v>
      </c>
      <c r="D11" s="15" t="s">
        <v>36</v>
      </c>
      <c r="E11" s="9" t="s">
        <v>24</v>
      </c>
    </row>
    <row r="12" spans="1:5" x14ac:dyDescent="0.35">
      <c r="A12" s="9" t="s">
        <v>37</v>
      </c>
      <c r="B12" s="17">
        <v>8.0000000000000002E-3</v>
      </c>
      <c r="C12" s="9" t="s">
        <v>35</v>
      </c>
      <c r="D12" s="15" t="s">
        <v>38</v>
      </c>
      <c r="E12" s="9" t="s">
        <v>24</v>
      </c>
    </row>
    <row r="13" spans="1:5" x14ac:dyDescent="0.35">
      <c r="A13" s="9"/>
      <c r="B13" s="9"/>
      <c r="C13" s="9"/>
      <c r="D13" s="9"/>
      <c r="E13" s="9"/>
    </row>
    <row r="14" spans="1:5" x14ac:dyDescent="0.35">
      <c r="A14" s="9"/>
      <c r="B14" s="9"/>
      <c r="C14" s="9"/>
      <c r="D14" s="9"/>
      <c r="E14" s="9"/>
    </row>
    <row r="15" spans="1:5" x14ac:dyDescent="0.35">
      <c r="A15" s="10" t="s">
        <v>39</v>
      </c>
      <c r="B15" s="7"/>
      <c r="C15" s="7"/>
      <c r="D15" s="7"/>
      <c r="E15" s="7"/>
    </row>
    <row r="16" spans="1:5" x14ac:dyDescent="0.35">
      <c r="A16" s="13" t="s">
        <v>40</v>
      </c>
      <c r="B16" s="13" t="s">
        <v>17</v>
      </c>
      <c r="C16" s="13" t="s">
        <v>18</v>
      </c>
      <c r="D16" s="13" t="s">
        <v>41</v>
      </c>
      <c r="E16" s="13" t="s">
        <v>20</v>
      </c>
    </row>
    <row r="17" spans="1:5" x14ac:dyDescent="0.35">
      <c r="A17" s="9" t="s">
        <v>42</v>
      </c>
      <c r="B17" s="18">
        <v>3.5000000000000003E-2</v>
      </c>
      <c r="C17" s="9" t="s">
        <v>43</v>
      </c>
      <c r="D17" s="15" t="s">
        <v>44</v>
      </c>
      <c r="E17" s="9" t="s">
        <v>45</v>
      </c>
    </row>
    <row r="18" spans="1:5" x14ac:dyDescent="0.35">
      <c r="A18" s="9" t="s">
        <v>46</v>
      </c>
      <c r="B18" s="17">
        <f>B7/B6</f>
        <v>4.7335856310446324E-2</v>
      </c>
      <c r="C18" s="9" t="s">
        <v>47</v>
      </c>
      <c r="D18" s="15" t="s">
        <v>48</v>
      </c>
      <c r="E18" s="9" t="s">
        <v>49</v>
      </c>
    </row>
    <row r="19" spans="1:5" x14ac:dyDescent="0.35">
      <c r="A19" s="9" t="s">
        <v>50</v>
      </c>
      <c r="B19" s="18">
        <v>1.7999999999999999E-2</v>
      </c>
      <c r="C19" s="9" t="s">
        <v>47</v>
      </c>
      <c r="D19" s="15" t="s">
        <v>51</v>
      </c>
      <c r="E19" s="9" t="s">
        <v>45</v>
      </c>
    </row>
    <row r="20" spans="1:5" x14ac:dyDescent="0.35">
      <c r="A20" s="9" t="s">
        <v>52</v>
      </c>
      <c r="B20" s="18">
        <v>1.2999999999999999E-2</v>
      </c>
      <c r="C20" s="9" t="s">
        <v>47</v>
      </c>
      <c r="D20" s="15" t="s">
        <v>51</v>
      </c>
      <c r="E20" s="9" t="s">
        <v>45</v>
      </c>
    </row>
    <row r="21" spans="1:5" x14ac:dyDescent="0.35">
      <c r="A21" s="9" t="s">
        <v>53</v>
      </c>
      <c r="B21" s="18">
        <v>2E-3</v>
      </c>
      <c r="C21" s="9" t="s">
        <v>54</v>
      </c>
      <c r="D21" s="15" t="s">
        <v>55</v>
      </c>
      <c r="E21" s="9" t="s">
        <v>45</v>
      </c>
    </row>
    <row r="22" spans="1:5" x14ac:dyDescent="0.35">
      <c r="A22" s="9" t="s">
        <v>56</v>
      </c>
      <c r="B22" s="18">
        <v>0.25</v>
      </c>
      <c r="C22" s="9" t="s">
        <v>57</v>
      </c>
      <c r="D22" s="15" t="s">
        <v>58</v>
      </c>
      <c r="E22" s="9" t="s">
        <v>45</v>
      </c>
    </row>
    <row r="23" spans="1:5" x14ac:dyDescent="0.35">
      <c r="A23" s="9" t="s">
        <v>59</v>
      </c>
      <c r="B23" s="18">
        <v>7.4999999999999997E-2</v>
      </c>
      <c r="C23" s="9" t="s">
        <v>35</v>
      </c>
      <c r="D23" s="15" t="s">
        <v>60</v>
      </c>
      <c r="E23" s="9" t="s">
        <v>45</v>
      </c>
    </row>
    <row r="24" spans="1:5" x14ac:dyDescent="0.35">
      <c r="A24" s="9" t="s">
        <v>61</v>
      </c>
      <c r="B24" s="18">
        <v>0.02</v>
      </c>
      <c r="C24" s="9" t="s">
        <v>35</v>
      </c>
      <c r="D24" s="15" t="s">
        <v>62</v>
      </c>
      <c r="E24" s="9" t="s">
        <v>45</v>
      </c>
    </row>
    <row r="25" spans="1:5" x14ac:dyDescent="0.35">
      <c r="A25" s="9" t="s">
        <v>63</v>
      </c>
      <c r="B25" s="19">
        <v>7</v>
      </c>
      <c r="C25" s="9" t="s">
        <v>64</v>
      </c>
      <c r="D25" s="15" t="s">
        <v>65</v>
      </c>
      <c r="E25" s="9" t="s">
        <v>45</v>
      </c>
    </row>
    <row r="26" spans="1:5" x14ac:dyDescent="0.35">
      <c r="A26" s="9" t="s">
        <v>29</v>
      </c>
      <c r="B26" s="20">
        <v>10563</v>
      </c>
      <c r="C26" s="9" t="s">
        <v>22</v>
      </c>
      <c r="D26" s="15" t="s">
        <v>66</v>
      </c>
      <c r="E26" s="9" t="s">
        <v>49</v>
      </c>
    </row>
    <row r="27" spans="1:5" x14ac:dyDescent="0.35">
      <c r="A27" s="9" t="s">
        <v>67</v>
      </c>
      <c r="B27" s="20">
        <v>6600</v>
      </c>
      <c r="C27" s="9" t="s">
        <v>68</v>
      </c>
      <c r="D27" s="15" t="s">
        <v>69</v>
      </c>
      <c r="E27" s="9" t="s">
        <v>45</v>
      </c>
    </row>
    <row r="28" spans="1:5" x14ac:dyDescent="0.35">
      <c r="A28" s="9" t="s">
        <v>70</v>
      </c>
      <c r="B28" s="21">
        <v>4.2</v>
      </c>
      <c r="C28" s="9" t="s">
        <v>32</v>
      </c>
      <c r="D28" s="15" t="s">
        <v>71</v>
      </c>
      <c r="E28" s="9" t="s">
        <v>45</v>
      </c>
    </row>
    <row r="32" spans="1:5" ht="15.5" x14ac:dyDescent="0.35">
      <c r="A32" t="s">
        <v>72</v>
      </c>
      <c r="B32" s="5" t="s">
        <v>73</v>
      </c>
      <c r="C32" s="3"/>
      <c r="D32" s="3"/>
      <c r="E32" s="3"/>
    </row>
    <row r="33" spans="1:5" ht="15.5" x14ac:dyDescent="0.35">
      <c r="A33" t="s">
        <v>74</v>
      </c>
      <c r="B33" s="5" t="s">
        <v>75</v>
      </c>
      <c r="C33" s="3"/>
      <c r="D33" s="3"/>
      <c r="E33" s="3"/>
    </row>
  </sheetData>
  <mergeCells count="6">
    <mergeCell ref="A4:E4"/>
    <mergeCell ref="A2:E2"/>
    <mergeCell ref="A15:E15"/>
    <mergeCell ref="B33:E33"/>
    <mergeCell ref="A1:E1"/>
    <mergeCell ref="B32:E32"/>
  </mergeCells>
  <hyperlinks>
    <hyperlink ref="B32" r:id="rId1" xr:uid="{00000000-0004-0000-0100-000000000000}"/>
    <hyperlink ref="B33" r:id="rId2" xr:uid="{00000000-0004-0000-0100-000001000000}"/>
  </hyperlinks>
  <pageMargins left="0.75" right="0.75" top="1" bottom="1" header="0.5" footer="0.5"/>
  <headerFooter>
    <oddFooter>&amp;CEducational portfolio model | Not investment advice | Verify all figures and assumptions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I8" sqref="I8"/>
    </sheetView>
  </sheetViews>
  <sheetFormatPr defaultRowHeight="14.5" x14ac:dyDescent="0.35"/>
  <cols>
    <col min="1" max="1" width="22" bestFit="1" customWidth="1"/>
    <col min="2" max="2" width="7.90625" bestFit="1" customWidth="1"/>
    <col min="3" max="7" width="7.81640625" bestFit="1" customWidth="1"/>
  </cols>
  <sheetData>
    <row r="1" spans="1:7" ht="30" customHeight="1" x14ac:dyDescent="0.4">
      <c r="A1" s="6" t="s">
        <v>76</v>
      </c>
      <c r="B1" s="7"/>
      <c r="C1" s="7"/>
      <c r="D1" s="7"/>
      <c r="E1" s="7"/>
      <c r="F1" s="7"/>
      <c r="G1" s="7"/>
    </row>
    <row r="2" spans="1:7" x14ac:dyDescent="0.35">
      <c r="A2" s="8" t="s">
        <v>77</v>
      </c>
      <c r="B2" s="7"/>
      <c r="C2" s="7"/>
      <c r="D2" s="7"/>
      <c r="E2" s="7"/>
      <c r="F2" s="7"/>
      <c r="G2" s="7"/>
    </row>
    <row r="3" spans="1:7" x14ac:dyDescent="0.35">
      <c r="A3" s="9"/>
      <c r="B3" s="9"/>
      <c r="C3" s="9"/>
      <c r="D3" s="9"/>
      <c r="E3" s="9"/>
      <c r="F3" s="9"/>
      <c r="G3" s="9"/>
    </row>
    <row r="4" spans="1:7" x14ac:dyDescent="0.35">
      <c r="A4" s="13" t="s">
        <v>16</v>
      </c>
      <c r="B4" s="13" t="s">
        <v>78</v>
      </c>
      <c r="C4" s="13" t="s">
        <v>79</v>
      </c>
      <c r="D4" s="13" t="s">
        <v>80</v>
      </c>
      <c r="E4" s="13" t="s">
        <v>81</v>
      </c>
      <c r="F4" s="13" t="s">
        <v>82</v>
      </c>
      <c r="G4" s="13" t="s">
        <v>83</v>
      </c>
    </row>
    <row r="5" spans="1:7" x14ac:dyDescent="0.35">
      <c r="A5" s="9" t="s">
        <v>84</v>
      </c>
      <c r="B5" s="22">
        <f>'Sources &amp; Assumptions'!B6</f>
        <v>66588</v>
      </c>
      <c r="C5" s="22">
        <f>B5*(1+'Sources &amp; Assumptions'!$B$17)</f>
        <v>68918.58</v>
      </c>
      <c r="D5" s="22">
        <f>C5*(1+'Sources &amp; Assumptions'!$B$17)</f>
        <v>71330.730299999996</v>
      </c>
      <c r="E5" s="22">
        <f>D5*(1+'Sources &amp; Assumptions'!$B$17)</f>
        <v>73827.305860499997</v>
      </c>
      <c r="F5" s="22">
        <f>E5*(1+'Sources &amp; Assumptions'!$B$17)</f>
        <v>76411.261565617489</v>
      </c>
      <c r="G5" s="22">
        <f>F5*(1+'Sources &amp; Assumptions'!$B$17)</f>
        <v>79085.655720414099</v>
      </c>
    </row>
    <row r="6" spans="1:7" x14ac:dyDescent="0.35">
      <c r="A6" s="9" t="s">
        <v>34</v>
      </c>
      <c r="B6" s="17">
        <f>'Sources &amp; Assumptions'!B11</f>
        <v>4.5999999999999999E-2</v>
      </c>
      <c r="C6" s="17">
        <f>'Sources &amp; Assumptions'!$B$17</f>
        <v>3.5000000000000003E-2</v>
      </c>
      <c r="D6" s="17">
        <f>'Sources &amp; Assumptions'!$B$17</f>
        <v>3.5000000000000003E-2</v>
      </c>
      <c r="E6" s="17">
        <f>'Sources &amp; Assumptions'!$B$17</f>
        <v>3.5000000000000003E-2</v>
      </c>
      <c r="F6" s="17">
        <f>'Sources &amp; Assumptions'!$B$17</f>
        <v>3.5000000000000003E-2</v>
      </c>
      <c r="G6" s="17">
        <f>'Sources &amp; Assumptions'!$B$17</f>
        <v>3.5000000000000003E-2</v>
      </c>
    </row>
    <row r="7" spans="1:7" x14ac:dyDescent="0.35">
      <c r="A7" s="9" t="s">
        <v>25</v>
      </c>
      <c r="B7" s="22">
        <f>'Sources &amp; Assumptions'!B7</f>
        <v>3152</v>
      </c>
      <c r="C7" s="22">
        <f>C5*'Sources &amp; Assumptions'!$B$18</f>
        <v>3262.3199999999997</v>
      </c>
      <c r="D7" s="22">
        <f>D5*'Sources &amp; Assumptions'!$B$18</f>
        <v>3376.5011999999997</v>
      </c>
      <c r="E7" s="22">
        <f>E5*'Sources &amp; Assumptions'!$B$18</f>
        <v>3494.6787419999996</v>
      </c>
      <c r="F7" s="22">
        <f>F5*'Sources &amp; Assumptions'!$B$18</f>
        <v>3616.9924979699995</v>
      </c>
      <c r="G7" s="22">
        <f>G5*'Sources &amp; Assumptions'!$B$18</f>
        <v>3743.5872353989494</v>
      </c>
    </row>
    <row r="8" spans="1:7" x14ac:dyDescent="0.35">
      <c r="A8" s="9" t="s">
        <v>85</v>
      </c>
      <c r="B8" s="17">
        <f t="shared" ref="B8:G8" si="0">B7/B5</f>
        <v>4.7335856310446324E-2</v>
      </c>
      <c r="C8" s="17">
        <f t="shared" si="0"/>
        <v>4.7335856310446324E-2</v>
      </c>
      <c r="D8" s="17">
        <f t="shared" si="0"/>
        <v>4.7335856310446324E-2</v>
      </c>
      <c r="E8" s="17">
        <f t="shared" si="0"/>
        <v>4.7335856310446324E-2</v>
      </c>
      <c r="F8" s="17">
        <f t="shared" si="0"/>
        <v>4.7335856310446324E-2</v>
      </c>
      <c r="G8" s="17">
        <f t="shared" si="0"/>
        <v>4.7335856310446324E-2</v>
      </c>
    </row>
    <row r="9" spans="1:7" x14ac:dyDescent="0.35">
      <c r="A9" s="9" t="s">
        <v>50</v>
      </c>
      <c r="B9" s="22">
        <f>B5*'Sources &amp; Assumptions'!B19</f>
        <v>1198.5839999999998</v>
      </c>
      <c r="C9" s="22">
        <f>C5*'Sources &amp; Assumptions'!$B$19</f>
        <v>1240.5344399999999</v>
      </c>
      <c r="D9" s="22">
        <f>D5*'Sources &amp; Assumptions'!$B$19</f>
        <v>1283.9531453999998</v>
      </c>
      <c r="E9" s="22">
        <f>E5*'Sources &amp; Assumptions'!$B$19</f>
        <v>1328.8915054889999</v>
      </c>
      <c r="F9" s="22">
        <f>F5*'Sources &amp; Assumptions'!$B$19</f>
        <v>1375.4027081811148</v>
      </c>
      <c r="G9" s="22">
        <f>G5*'Sources &amp; Assumptions'!$B$19</f>
        <v>1423.5418029674536</v>
      </c>
    </row>
    <row r="10" spans="1:7" x14ac:dyDescent="0.35">
      <c r="A10" s="9" t="s">
        <v>86</v>
      </c>
      <c r="B10" s="22">
        <f t="shared" ref="B10:G10" si="1">B7+B9</f>
        <v>4350.5839999999998</v>
      </c>
      <c r="C10" s="22">
        <f t="shared" si="1"/>
        <v>4502.8544399999992</v>
      </c>
      <c r="D10" s="22">
        <f t="shared" si="1"/>
        <v>4660.4543453999995</v>
      </c>
      <c r="E10" s="22">
        <f t="shared" si="1"/>
        <v>4823.5702474889995</v>
      </c>
      <c r="F10" s="22">
        <f t="shared" si="1"/>
        <v>4992.3952061511145</v>
      </c>
      <c r="G10" s="22">
        <f t="shared" si="1"/>
        <v>5167.1290383664027</v>
      </c>
    </row>
    <row r="11" spans="1:7" x14ac:dyDescent="0.35">
      <c r="A11" s="9" t="s">
        <v>87</v>
      </c>
      <c r="B11" s="22">
        <f>B7*'Sources &amp; Assumptions'!B22</f>
        <v>788</v>
      </c>
      <c r="C11" s="22">
        <f>C7*'Sources &amp; Assumptions'!$B$22</f>
        <v>815.57999999999993</v>
      </c>
      <c r="D11" s="22">
        <f>D7*'Sources &amp; Assumptions'!$B$22</f>
        <v>844.12529999999992</v>
      </c>
      <c r="E11" s="22">
        <f>E7*'Sources &amp; Assumptions'!$B$22</f>
        <v>873.6696854999999</v>
      </c>
      <c r="F11" s="22">
        <f>F7*'Sources &amp; Assumptions'!$B$22</f>
        <v>904.24812449249987</v>
      </c>
      <c r="G11" s="22">
        <f>G7*'Sources &amp; Assumptions'!$B$22</f>
        <v>935.89680884973734</v>
      </c>
    </row>
    <row r="12" spans="1:7" x14ac:dyDescent="0.35">
      <c r="A12" s="9" t="s">
        <v>88</v>
      </c>
      <c r="B12" s="22">
        <f t="shared" ref="B12:G12" si="2">B7-B11</f>
        <v>2364</v>
      </c>
      <c r="C12" s="22">
        <f t="shared" si="2"/>
        <v>2446.7399999999998</v>
      </c>
      <c r="D12" s="22">
        <f t="shared" si="2"/>
        <v>2532.3759</v>
      </c>
      <c r="E12" s="22">
        <f t="shared" si="2"/>
        <v>2621.0090564999996</v>
      </c>
      <c r="F12" s="22">
        <f t="shared" si="2"/>
        <v>2712.7443734774997</v>
      </c>
      <c r="G12" s="22">
        <f t="shared" si="2"/>
        <v>2807.6904265492121</v>
      </c>
    </row>
    <row r="13" spans="1:7" x14ac:dyDescent="0.35">
      <c r="A13" s="9" t="s">
        <v>52</v>
      </c>
      <c r="B13" s="22">
        <f>B5*'Sources &amp; Assumptions'!B20</f>
        <v>865.64400000000001</v>
      </c>
      <c r="C13" s="22">
        <f>C5*'Sources &amp; Assumptions'!$B$20</f>
        <v>895.94154000000003</v>
      </c>
      <c r="D13" s="22">
        <f>D5*'Sources &amp; Assumptions'!$B$20</f>
        <v>927.2994938999999</v>
      </c>
      <c r="E13" s="22">
        <f>E5*'Sources &amp; Assumptions'!$B$20</f>
        <v>959.7549761864999</v>
      </c>
      <c r="F13" s="22">
        <f>F5*'Sources &amp; Assumptions'!$B$20</f>
        <v>993.34640035302732</v>
      </c>
      <c r="G13" s="22">
        <f>G5*'Sources &amp; Assumptions'!$B$20</f>
        <v>1028.1135243653832</v>
      </c>
    </row>
    <row r="14" spans="1:7" x14ac:dyDescent="0.35">
      <c r="A14" s="9" t="s">
        <v>53</v>
      </c>
      <c r="B14" s="22">
        <f>0</f>
        <v>0</v>
      </c>
      <c r="C14" s="22">
        <f>(C5-B5)*'Sources &amp; Assumptions'!$B$21</f>
        <v>4.6611600000000033</v>
      </c>
      <c r="D14" s="22">
        <f>(D5-C5)*'Sources &amp; Assumptions'!$B$21</f>
        <v>4.8243005999999875</v>
      </c>
      <c r="E14" s="22">
        <f>(E5-D5)*'Sources &amp; Assumptions'!$B$21</f>
        <v>4.993151121000003</v>
      </c>
      <c r="F14" s="22">
        <f>(F5-E5)*'Sources &amp; Assumptions'!$B$21</f>
        <v>5.1679114102349848</v>
      </c>
      <c r="G14" s="22">
        <f>(G5-F5)*'Sources &amp; Assumptions'!$B$21</f>
        <v>5.3487883095932194</v>
      </c>
    </row>
    <row r="15" spans="1:7" x14ac:dyDescent="0.35">
      <c r="A15" s="9" t="s">
        <v>89</v>
      </c>
      <c r="B15" s="22">
        <f t="shared" ref="B15:G15" si="3">B12+B9-B13-B14</f>
        <v>2696.9399999999996</v>
      </c>
      <c r="C15" s="22">
        <f t="shared" si="3"/>
        <v>2786.6717399999993</v>
      </c>
      <c r="D15" s="22">
        <f t="shared" si="3"/>
        <v>2884.2052509</v>
      </c>
      <c r="E15" s="22">
        <f t="shared" si="3"/>
        <v>2985.1524346814995</v>
      </c>
      <c r="F15" s="22">
        <f t="shared" si="3"/>
        <v>3089.6327698953523</v>
      </c>
      <c r="G15" s="22">
        <f t="shared" si="3"/>
        <v>3197.7699168416893</v>
      </c>
    </row>
    <row r="16" spans="1:7" x14ac:dyDescent="0.35">
      <c r="A16" s="9" t="s">
        <v>90</v>
      </c>
      <c r="B16" s="22">
        <f>'Sources &amp; Assumptions'!B26</f>
        <v>10563</v>
      </c>
      <c r="C16" s="22">
        <f>B16-(C15-(C7*'Sources &amp; Assumptions'!$B$22))</f>
        <v>8591.9082600000002</v>
      </c>
      <c r="D16" s="22">
        <f>C16-(D15-(D7*'Sources &amp; Assumptions'!$B$22))</f>
        <v>6551.8283091000003</v>
      </c>
      <c r="E16" s="22">
        <f>D16-(E15-(E7*'Sources &amp; Assumptions'!$B$22))</f>
        <v>4440.3455599185008</v>
      </c>
      <c r="F16" s="22">
        <f>E16-(F15-(F7*'Sources &amp; Assumptions'!$B$22))</f>
        <v>2254.9609145156483</v>
      </c>
      <c r="G16" s="22">
        <f>F16-(G15-(G7*'Sources &amp; Assumptions'!$B$22))</f>
        <v>-6.9121934763038553</v>
      </c>
    </row>
  </sheetData>
  <mergeCells count="2">
    <mergeCell ref="A2:G2"/>
    <mergeCell ref="A1:G1"/>
  </mergeCells>
  <pageMargins left="0.75" right="0.75" top="1" bottom="1" header="0.5" footer="0.5"/>
  <headerFooter>
    <oddFooter>&amp;CEducational portfolio model | Not investment advice | Verify all figures and assumptions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"/>
  <sheetViews>
    <sheetView showGridLines="0" workbookViewId="0">
      <pane xSplit="1" ySplit="3" topLeftCell="B7" activePane="bottomRight" state="frozen"/>
      <selection pane="topRight"/>
      <selection pane="bottomLeft"/>
      <selection pane="bottomRight" activeCell="I13" sqref="I13"/>
    </sheetView>
  </sheetViews>
  <sheetFormatPr defaultRowHeight="14.5" x14ac:dyDescent="0.35"/>
  <cols>
    <col min="1" max="1" width="19" bestFit="1" customWidth="1"/>
    <col min="2" max="7" width="11.81640625" bestFit="1" customWidth="1"/>
  </cols>
  <sheetData>
    <row r="1" spans="1:7" ht="30" customHeight="1" x14ac:dyDescent="0.4">
      <c r="A1" s="6" t="s">
        <v>91</v>
      </c>
      <c r="B1" s="7"/>
      <c r="C1" s="7"/>
      <c r="D1" s="7"/>
      <c r="E1" s="7"/>
      <c r="F1" s="7"/>
      <c r="G1" s="7"/>
    </row>
    <row r="2" spans="1:7" x14ac:dyDescent="0.35">
      <c r="A2" s="8" t="s">
        <v>92</v>
      </c>
      <c r="B2" s="7"/>
      <c r="C2" s="7"/>
      <c r="D2" s="7"/>
      <c r="E2" s="7"/>
      <c r="F2" s="7"/>
      <c r="G2" s="7"/>
    </row>
    <row r="3" spans="1:7" x14ac:dyDescent="0.35">
      <c r="A3" s="9"/>
      <c r="B3" s="9"/>
      <c r="C3" s="9"/>
      <c r="D3" s="9"/>
      <c r="E3" s="9"/>
      <c r="F3" s="9"/>
      <c r="G3" s="9"/>
    </row>
    <row r="4" spans="1:7" x14ac:dyDescent="0.35">
      <c r="A4" s="10" t="s">
        <v>93</v>
      </c>
      <c r="B4" s="7"/>
      <c r="C4" s="7"/>
      <c r="D4" s="7"/>
      <c r="E4" s="7"/>
      <c r="F4" s="7"/>
      <c r="G4" s="7"/>
    </row>
    <row r="5" spans="1:7" x14ac:dyDescent="0.35">
      <c r="A5" s="13" t="s">
        <v>16</v>
      </c>
      <c r="B5" s="13" t="s">
        <v>79</v>
      </c>
      <c r="C5" s="13" t="s">
        <v>80</v>
      </c>
      <c r="D5" s="13" t="s">
        <v>81</v>
      </c>
      <c r="E5" s="13" t="s">
        <v>82</v>
      </c>
      <c r="F5" s="13" t="s">
        <v>83</v>
      </c>
      <c r="G5" s="13" t="s">
        <v>94</v>
      </c>
    </row>
    <row r="6" spans="1:7" x14ac:dyDescent="0.35">
      <c r="A6" s="9" t="s">
        <v>95</v>
      </c>
      <c r="B6" s="9">
        <f>'Operating Model'!C15</f>
        <v>2786.6717399999993</v>
      </c>
      <c r="C6" s="9">
        <f>'Operating Model'!D15</f>
        <v>2884.2052509</v>
      </c>
      <c r="D6" s="9">
        <f>'Operating Model'!E15</f>
        <v>2985.1524346814995</v>
      </c>
      <c r="E6" s="9">
        <f>'Operating Model'!F15</f>
        <v>3089.6327698953523</v>
      </c>
      <c r="F6" s="9">
        <f>'Operating Model'!G15</f>
        <v>3197.7699168416893</v>
      </c>
      <c r="G6" s="9">
        <f>F6*(1+'Sources &amp; Assumptions'!$B$24)/('Sources &amp; Assumptions'!$B$23-'Sources &amp; Assumptions'!$B$24)</f>
        <v>59304.096639609517</v>
      </c>
    </row>
    <row r="7" spans="1:7" x14ac:dyDescent="0.35">
      <c r="A7" s="9" t="s">
        <v>96</v>
      </c>
      <c r="B7" s="9">
        <v>1</v>
      </c>
      <c r="C7" s="9">
        <v>2</v>
      </c>
      <c r="D7" s="9">
        <v>3</v>
      </c>
      <c r="E7" s="9">
        <v>4</v>
      </c>
      <c r="F7" s="9">
        <v>5</v>
      </c>
      <c r="G7" s="9">
        <f>F7</f>
        <v>5</v>
      </c>
    </row>
    <row r="8" spans="1:7" x14ac:dyDescent="0.35">
      <c r="A8" s="9" t="s">
        <v>97</v>
      </c>
      <c r="B8" s="9">
        <f>1/(1+'Sources &amp; Assumptions'!$B$23)^B7</f>
        <v>0.93023255813953487</v>
      </c>
      <c r="C8" s="9">
        <f>1/(1+'Sources &amp; Assumptions'!$B$23)^C7</f>
        <v>0.86533261222282321</v>
      </c>
      <c r="D8" s="9">
        <f>1/(1+'Sources &amp; Assumptions'!$B$23)^D7</f>
        <v>0.80496056950960304</v>
      </c>
      <c r="E8" s="9">
        <f>1/(1+'Sources &amp; Assumptions'!$B$23)^E7</f>
        <v>0.7488005297763749</v>
      </c>
      <c r="F8" s="9">
        <f>1/(1+'Sources &amp; Assumptions'!$B$23)^F7</f>
        <v>0.69655863235011617</v>
      </c>
      <c r="G8" s="9">
        <f>1/(1+'Sources &amp; Assumptions'!$B$23)^F7</f>
        <v>0.69655863235011617</v>
      </c>
    </row>
    <row r="9" spans="1:7" x14ac:dyDescent="0.35">
      <c r="A9" s="9" t="s">
        <v>98</v>
      </c>
      <c r="B9" s="9">
        <f t="shared" ref="B9:G9" si="0">B6*B8</f>
        <v>2592.2527813953484</v>
      </c>
      <c r="C9" s="9">
        <f t="shared" si="0"/>
        <v>2495.79686394808</v>
      </c>
      <c r="D9" s="9">
        <f t="shared" si="0"/>
        <v>2402.9300038941979</v>
      </c>
      <c r="E9" s="9">
        <f t="shared" si="0"/>
        <v>2313.5186549120886</v>
      </c>
      <c r="F9" s="9">
        <f t="shared" si="0"/>
        <v>2227.4342398455919</v>
      </c>
      <c r="G9" s="9">
        <f t="shared" si="0"/>
        <v>41308.780448045523</v>
      </c>
    </row>
    <row r="10" spans="1:7" x14ac:dyDescent="0.35">
      <c r="A10" s="9"/>
      <c r="B10" s="9"/>
      <c r="C10" s="9"/>
      <c r="D10" s="9"/>
      <c r="E10" s="9"/>
      <c r="F10" s="9"/>
      <c r="G10" s="9"/>
    </row>
    <row r="11" spans="1:7" x14ac:dyDescent="0.35">
      <c r="A11" s="9"/>
      <c r="B11" s="9"/>
      <c r="C11" s="9"/>
      <c r="D11" s="9"/>
      <c r="E11" s="9"/>
      <c r="F11" s="9"/>
      <c r="G11" s="9"/>
    </row>
    <row r="12" spans="1:7" x14ac:dyDescent="0.35">
      <c r="A12" s="10" t="s">
        <v>99</v>
      </c>
      <c r="B12" s="7"/>
      <c r="C12" s="7"/>
      <c r="D12" s="7"/>
      <c r="E12" s="9"/>
      <c r="F12" s="9"/>
      <c r="G12" s="9"/>
    </row>
    <row r="13" spans="1:7" x14ac:dyDescent="0.35">
      <c r="A13" s="9" t="s">
        <v>100</v>
      </c>
      <c r="B13" s="14">
        <f>SUM(B9:F9)</f>
        <v>12031.932543995306</v>
      </c>
      <c r="C13" s="9"/>
      <c r="D13" s="9"/>
      <c r="E13" s="9"/>
      <c r="F13" s="9"/>
      <c r="G13" s="9"/>
    </row>
    <row r="14" spans="1:7" x14ac:dyDescent="0.35">
      <c r="A14" s="9" t="s">
        <v>101</v>
      </c>
      <c r="B14" s="14">
        <f>G9</f>
        <v>41308.780448045523</v>
      </c>
      <c r="C14" s="9"/>
      <c r="D14" s="9"/>
      <c r="E14" s="9"/>
      <c r="F14" s="9"/>
      <c r="G14" s="9"/>
    </row>
    <row r="15" spans="1:7" x14ac:dyDescent="0.35">
      <c r="A15" s="9" t="s">
        <v>102</v>
      </c>
      <c r="B15" s="14">
        <f>B13+B14</f>
        <v>53340.712992040833</v>
      </c>
      <c r="C15" s="9"/>
      <c r="D15" s="9"/>
      <c r="E15" s="9"/>
      <c r="F15" s="9"/>
      <c r="G15" s="9"/>
    </row>
    <row r="16" spans="1:7" x14ac:dyDescent="0.35">
      <c r="A16" s="9" t="s">
        <v>103</v>
      </c>
      <c r="B16" s="14">
        <f>'Sources &amp; Assumptions'!B26</f>
        <v>10563</v>
      </c>
      <c r="C16" s="9"/>
      <c r="D16" s="9"/>
      <c r="E16" s="9"/>
      <c r="F16" s="9"/>
      <c r="G16" s="9"/>
    </row>
    <row r="17" spans="1:7" x14ac:dyDescent="0.35">
      <c r="A17" s="9" t="s">
        <v>104</v>
      </c>
      <c r="B17" s="14">
        <f>B15-B16</f>
        <v>42777.712992040833</v>
      </c>
      <c r="C17" s="9"/>
      <c r="D17" s="9"/>
      <c r="E17" s="9"/>
      <c r="F17" s="9"/>
      <c r="G17" s="9"/>
    </row>
    <row r="18" spans="1:7" x14ac:dyDescent="0.35">
      <c r="A18" s="9" t="s">
        <v>105</v>
      </c>
      <c r="B18" s="14">
        <f>'Sources &amp; Assumptions'!B27</f>
        <v>6600</v>
      </c>
      <c r="C18" s="9"/>
      <c r="D18" s="9"/>
      <c r="E18" s="9"/>
      <c r="F18" s="9"/>
      <c r="G18" s="9"/>
    </row>
    <row r="19" spans="1:7" x14ac:dyDescent="0.35">
      <c r="A19" s="9" t="s">
        <v>106</v>
      </c>
      <c r="B19" s="23">
        <f>B17/B18</f>
        <v>6.4814716654607327</v>
      </c>
      <c r="C19" s="9"/>
      <c r="D19" s="9"/>
      <c r="E19" s="9"/>
      <c r="F19" s="9"/>
      <c r="G19" s="9"/>
    </row>
    <row r="20" spans="1:7" x14ac:dyDescent="0.35">
      <c r="A20" s="9" t="s">
        <v>70</v>
      </c>
      <c r="B20" s="23">
        <f>'Sources &amp; Assumptions'!B28</f>
        <v>4.2</v>
      </c>
      <c r="C20" s="9"/>
      <c r="D20" s="9"/>
      <c r="E20" s="9"/>
      <c r="F20" s="9"/>
      <c r="G20" s="9"/>
    </row>
    <row r="21" spans="1:7" x14ac:dyDescent="0.35">
      <c r="A21" s="9" t="s">
        <v>107</v>
      </c>
      <c r="B21" s="17">
        <f>B19/B20-1</f>
        <v>0.54320753939541255</v>
      </c>
      <c r="C21" s="9"/>
      <c r="D21" s="9"/>
      <c r="E21" s="9"/>
      <c r="F21" s="9"/>
      <c r="G21" s="9"/>
    </row>
    <row r="24" spans="1:7" x14ac:dyDescent="0.35">
      <c r="A24" s="4" t="s">
        <v>108</v>
      </c>
      <c r="B24" s="3"/>
      <c r="C24" s="3"/>
      <c r="D24" s="3"/>
      <c r="E24" s="3"/>
      <c r="F24" s="3"/>
    </row>
    <row r="25" spans="1:7" x14ac:dyDescent="0.35">
      <c r="A25" t="s">
        <v>109</v>
      </c>
      <c r="B25" s="1">
        <v>0.01</v>
      </c>
      <c r="C25" s="1">
        <v>1.4999999999999999E-2</v>
      </c>
      <c r="D25" s="1">
        <v>0.02</v>
      </c>
      <c r="E25" s="1">
        <v>2.5000000000000001E-2</v>
      </c>
      <c r="F25" s="1">
        <v>0.03</v>
      </c>
    </row>
    <row r="26" spans="1:7" x14ac:dyDescent="0.35">
      <c r="A26" s="1">
        <v>6.5000000000000002E-2</v>
      </c>
      <c r="B26" s="2">
        <f>(('Operating Model'!C15/(1+$A26)^1+'Operating Model'!D15/(1+$A26)^2+'Operating Model'!E15/(1+$A26)^3+'Operating Model'!F15/(1+$A26)^4+'Operating Model'!G15/(1+$A26)^5)+('Operating Model'!G15*(1+B$25)/($A26-B$25))/(1+$A26)^5-'Sources &amp; Assumptions'!$B$26)/'Sources &amp; Assumptions'!$B$27</f>
        <v>6.7672622412078915</v>
      </c>
      <c r="C26" s="2">
        <f>(('Operating Model'!C15/(1+$A26)^1+'Operating Model'!D15/(1+$A26)^2+'Operating Model'!E15/(1+$A26)^3+'Operating Model'!F15/(1+$A26)^4+'Operating Model'!G15/(1+$A26)^5)+('Operating Model'!G15*(1+C$25)/($A26-C$25))/(1+$A26)^5-'Sources &amp; Assumptions'!$B$26)/'Sources &amp; Assumptions'!$B$27</f>
        <v>7.4520281904447607</v>
      </c>
      <c r="D26" s="2">
        <f>(('Operating Model'!C15/(1+$A26)^1+'Operating Model'!D15/(1+$A26)^2+'Operating Model'!E15/(1+$A26)^3+'Operating Model'!F15/(1+$A26)^4+'Operating Model'!G15/(1+$A26)^5)+('Operating Model'!G15*(1+D$25)/($A26-D$25))/(1+$A26)^5-'Sources &amp; Assumptions'!$B$26)/'Sources &amp; Assumptions'!$B$27</f>
        <v>8.2889643506231607</v>
      </c>
      <c r="E26" s="2">
        <f>(('Operating Model'!C15/(1+$A26)^1+'Operating Model'!D15/(1+$A26)^2+'Operating Model'!E15/(1+$A26)^3+'Operating Model'!F15/(1+$A26)^4+'Operating Model'!G15/(1+$A26)^5)+('Operating Model'!G15*(1+E$25)/($A26-E$25))/(1+$A26)^5-'Sources &amp; Assumptions'!$B$26)/'Sources &amp; Assumptions'!$B$27</f>
        <v>9.3351345508461581</v>
      </c>
      <c r="F26" s="2">
        <f>(('Operating Model'!C15/(1+$A26)^1+'Operating Model'!D15/(1+$A26)^2+'Operating Model'!E15/(1+$A26)^3+'Operating Model'!F15/(1+$A26)^4+'Operating Model'!G15/(1+$A26)^5)+('Operating Model'!G15*(1+F$25)/($A26-F$25))/(1+$A26)^5-'Sources &amp; Assumptions'!$B$26)/'Sources &amp; Assumptions'!$B$27</f>
        <v>10.68021052256144</v>
      </c>
    </row>
    <row r="27" spans="1:7" x14ac:dyDescent="0.35">
      <c r="A27" s="1">
        <v>7.0000000000000007E-2</v>
      </c>
      <c r="B27" s="2">
        <f>(('Operating Model'!C15/(1+$A27)^1+'Operating Model'!D15/(1+$A27)^2+'Operating Model'!E15/(1+$A27)^3+'Operating Model'!F15/(1+$A27)^4+'Operating Model'!G15/(1+$A27)^5)+('Operating Model'!G15*(1+B$25)/($A27-B$25))/(1+$A27)^5-'Sources &amp; Assumptions'!$B$26)/'Sources &amp; Assumptions'!$B$27</f>
        <v>6.0626926717385654</v>
      </c>
      <c r="C27" s="2">
        <f>(('Operating Model'!C15/(1+$A27)^1+'Operating Model'!D15/(1+$A27)^2+'Operating Model'!E15/(1+$A27)^3+'Operating Model'!F15/(1+$A27)^4+'Operating Model'!G15/(1+$A27)^5)+('Operating Model'!G15*(1+C$25)/($A27-C$25))/(1+$A27)^5-'Sources &amp; Assumptions'!$B$26)/'Sources &amp; Assumptions'!$B$27</f>
        <v>6.6227393564924988</v>
      </c>
      <c r="D27" s="2">
        <f>(('Operating Model'!C15/(1+$A27)^1+'Operating Model'!D15/(1+$A27)^2+'Operating Model'!E15/(1+$A27)^3+'Operating Model'!F15/(1+$A27)^4+'Operating Model'!G15/(1+$A27)^5)+('Operating Model'!G15*(1+D$25)/($A27-D$25))/(1+$A27)^5-'Sources &amp; Assumptions'!$B$26)/'Sources &amp; Assumptions'!$B$27</f>
        <v>7.2947953781972208</v>
      </c>
      <c r="E27" s="2">
        <f>(('Operating Model'!C15/(1+$A27)^1+'Operating Model'!D15/(1+$A27)^2+'Operating Model'!E15/(1+$A27)^3+'Operating Model'!F15/(1+$A27)^4+'Operating Model'!G15/(1+$A27)^5)+('Operating Model'!G15*(1+E$25)/($A27-E$25))/(1+$A27)^5-'Sources &amp; Assumptions'!$B$26)/'Sources &amp; Assumptions'!$B$27</f>
        <v>8.1161971825029902</v>
      </c>
      <c r="F27" s="2">
        <f>(('Operating Model'!C15/(1+$A27)^1+'Operating Model'!D15/(1+$A27)^2+'Operating Model'!E15/(1+$A27)^3+'Operating Model'!F15/(1+$A27)^4+'Operating Model'!G15/(1+$A27)^5)+('Operating Model'!G15*(1+F$25)/($A27-F$25))/(1+$A27)^5-'Sources &amp; Assumptions'!$B$26)/'Sources &amp; Assumptions'!$B$27</f>
        <v>9.1429494378852034</v>
      </c>
    </row>
    <row r="28" spans="1:7" x14ac:dyDescent="0.35">
      <c r="A28" s="1">
        <v>7.4999999999999997E-2</v>
      </c>
      <c r="B28" s="2">
        <f>(('Operating Model'!C15/(1+$A28)^1+'Operating Model'!D15/(1+$A28)^2+'Operating Model'!E15/(1+$A28)^3+'Operating Model'!F15/(1+$A28)^4+'Operating Model'!G15/(1+$A28)^5)+('Operating Model'!G15*(1+B$25)/($A28-B$25))/(1+$A28)^5-'Sources &amp; Assumptions'!$B$26)/'Sources &amp; Assumptions'!$B$27</f>
        <v>5.4666414862558108</v>
      </c>
      <c r="C28" s="2">
        <f>(('Operating Model'!C15/(1+$A28)^1+'Operating Model'!D15/(1+$A28)^2+'Operating Model'!E15/(1+$A28)^3+'Operating Model'!F15/(1+$A28)^4+'Operating Model'!G15/(1+$A28)^5)+('Operating Model'!G15*(1+C$25)/($A28-C$25))/(1+$A28)^5-'Sources &amp; Assumptions'!$B$26)/'Sources &amp; Assumptions'!$B$27</f>
        <v>5.9317719850580648</v>
      </c>
      <c r="D28" s="2">
        <f>(('Operating Model'!C15/(1+$A28)^1+'Operating Model'!D15/(1+$A28)^2+'Operating Model'!E15/(1+$A28)^3+'Operating Model'!F15/(1+$A28)^4+'Operating Model'!G15/(1+$A28)^5)+('Operating Model'!G15*(1+D$25)/($A28-D$25))/(1+$A28)^5-'Sources &amp; Assumptions'!$B$26)/'Sources &amp; Assumptions'!$B$27</f>
        <v>6.4814716654607327</v>
      </c>
      <c r="E28" s="2">
        <f>(('Operating Model'!C15/(1+$A28)^1+'Operating Model'!D15/(1+$A28)^2+'Operating Model'!E15/(1+$A28)^3+'Operating Model'!F15/(1+$A28)^4+'Operating Model'!G15/(1+$A28)^5)+('Operating Model'!G15*(1+E$25)/($A28-E$25))/(1+$A28)^5-'Sources &amp; Assumptions'!$B$26)/'Sources &amp; Assumptions'!$B$27</f>
        <v>7.14111128194393</v>
      </c>
      <c r="F28" s="2">
        <f>(('Operating Model'!C15/(1+$A28)^1+'Operating Model'!D15/(1+$A28)^2+'Operating Model'!E15/(1+$A28)^3+'Operating Model'!F15/(1+$A28)^4+'Operating Model'!G15/(1+$A28)^5)+('Operating Model'!G15*(1+F$25)/($A28-F$25))/(1+$A28)^5-'Sources &amp; Assumptions'!$B$26)/'Sources &amp; Assumptions'!$B$27</f>
        <v>7.947337479867838</v>
      </c>
    </row>
    <row r="29" spans="1:7" x14ac:dyDescent="0.35">
      <c r="A29" s="1">
        <v>0.08</v>
      </c>
      <c r="B29" s="2">
        <f>(('Operating Model'!C15/(1+$A29)^1+'Operating Model'!D15/(1+$A29)^2+'Operating Model'!E15/(1+$A29)^3+'Operating Model'!F15/(1+$A29)^4+'Operating Model'!G15/(1+$A29)^5)+('Operating Model'!G15*(1+B$25)/($A29-B$25))/(1+$A29)^5-'Sources &amp; Assumptions'!$B$26)/'Sources &amp; Assumptions'!$B$27</f>
        <v>4.9558519970501731</v>
      </c>
      <c r="C29" s="2">
        <f>(('Operating Model'!C15/(1+$A29)^1+'Operating Model'!D15/(1+$A29)^2+'Operating Model'!E15/(1+$A29)^3+'Operating Model'!F15/(1+$A29)^4+'Operating Model'!G15/(1+$A29)^5)+('Operating Model'!G15*(1+C$25)/($A29-C$25))/(1+$A29)^5-'Sources &amp; Assumptions'!$B$26)/'Sources &amp; Assumptions'!$B$27</f>
        <v>5.3472033708851825</v>
      </c>
      <c r="D29" s="2">
        <f>(('Operating Model'!C15/(1+$A29)^1+'Operating Model'!D15/(1+$A29)^2+'Operating Model'!E15/(1+$A29)^3+'Operating Model'!F15/(1+$A29)^4+'Operating Model'!G15/(1+$A29)^5)+('Operating Model'!G15*(1+D$25)/($A29-D$25))/(1+$A29)^5-'Sources &amp; Assumptions'!$B$26)/'Sources &amp; Assumptions'!$B$27</f>
        <v>5.8037799736926958</v>
      </c>
      <c r="E29" s="2">
        <f>(('Operating Model'!C15/(1+$A29)^1+'Operating Model'!D15/(1+$A29)^2+'Operating Model'!E15/(1+$A29)^3+'Operating Model'!F15/(1+$A29)^4+'Operating Model'!G15/(1+$A29)^5)+('Operating Model'!G15*(1+E$25)/($A29-E$25))/(1+$A29)^5-'Sources &amp; Assumptions'!$B$26)/'Sources &amp; Assumptions'!$B$27</f>
        <v>6.3433705042833921</v>
      </c>
      <c r="F29" s="2">
        <f>(('Operating Model'!C15/(1+$A29)^1+'Operating Model'!D15/(1+$A29)^2+'Operating Model'!E15/(1+$A29)^3+'Operating Model'!F15/(1+$A29)^4+'Operating Model'!G15/(1+$A29)^5)+('Operating Model'!G15*(1+F$25)/($A29-F$25))/(1+$A29)^5-'Sources &amp; Assumptions'!$B$26)/'Sources &amp; Assumptions'!$B$27</f>
        <v>6.9908791409922273</v>
      </c>
    </row>
    <row r="30" spans="1:7" x14ac:dyDescent="0.35">
      <c r="A30" s="1">
        <v>8.5000000000000006E-2</v>
      </c>
      <c r="B30" s="2">
        <f>(('Operating Model'!C15/(1+$A30)^1+'Operating Model'!D15/(1+$A30)^2+'Operating Model'!E15/(1+$A30)^3+'Operating Model'!F15/(1+$A30)^4+'Operating Model'!G15/(1+$A30)^5)+('Operating Model'!G15*(1+B$25)/($A30-B$25))/(1+$A30)^5-'Sources &amp; Assumptions'!$B$26)/'Sources &amp; Assumptions'!$B$27</f>
        <v>4.5132693747488535</v>
      </c>
      <c r="C30" s="2">
        <f>(('Operating Model'!C15/(1+$A30)^1+'Operating Model'!D15/(1+$A30)^2+'Operating Model'!E15/(1+$A30)^3+'Operating Model'!F15/(1+$A30)^4+'Operating Model'!G15/(1+$A30)^5)+('Operating Model'!G15*(1+C$25)/($A30-C$25))/(1+$A30)^5-'Sources &amp; Assumptions'!$B$26)/'Sources &amp; Assumptions'!$B$27</f>
        <v>4.8462316458886265</v>
      </c>
      <c r="D30" s="2">
        <f>(('Operating Model'!C15/(1+$A30)^1+'Operating Model'!D15/(1+$A30)^2+'Operating Model'!E15/(1+$A30)^3+'Operating Model'!F15/(1+$A30)^4+'Operating Model'!G15/(1+$A30)^5)+('Operating Model'!G15*(1+D$25)/($A30-D$25))/(1+$A30)^5-'Sources &amp; Assumptions'!$B$26)/'Sources &amp; Assumptions'!$B$27</f>
        <v>5.2304188818191353</v>
      </c>
      <c r="E30" s="2">
        <f>(('Operating Model'!C15/(1+$A30)^1+'Operating Model'!D15/(1+$A30)^2+'Operating Model'!E15/(1+$A30)^3+'Operating Model'!F15/(1+$A30)^4+'Operating Model'!G15/(1+$A30)^5)+('Operating Model'!G15*(1+E$25)/($A30-E$25))/(1+$A30)^5-'Sources &amp; Assumptions'!$B$26)/'Sources &amp; Assumptions'!$B$27</f>
        <v>5.6786373237380614</v>
      </c>
      <c r="F30" s="2">
        <f>(('Operating Model'!C15/(1+$A30)^1+'Operating Model'!D15/(1+$A30)^2+'Operating Model'!E15/(1+$A30)^3+'Operating Model'!F15/(1+$A30)^4+'Operating Model'!G15/(1+$A30)^5)+('Operating Model'!G15*(1+F$25)/($A30-F$25))/(1+$A30)^5-'Sources &amp; Assumptions'!$B$26)/'Sources &amp; Assumptions'!$B$27</f>
        <v>6.2083500278240669</v>
      </c>
    </row>
  </sheetData>
  <mergeCells count="5">
    <mergeCell ref="A24:F24"/>
    <mergeCell ref="A1:G1"/>
    <mergeCell ref="A12:D12"/>
    <mergeCell ref="A4:G4"/>
    <mergeCell ref="A2:G2"/>
  </mergeCells>
  <conditionalFormatting sqref="B26:F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>
    <oddFooter>&amp;CEducational portfolio model | Not investment advice | Verify all figures and assumptions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showGridLines="0" tabSelected="1" workbookViewId="0">
      <pane xSplit="1" ySplit="3" topLeftCell="B4" activePane="bottomRight" state="frozen"/>
      <selection pane="topRight"/>
      <selection pane="bottomLeft"/>
      <selection pane="bottomRight" activeCell="G9" sqref="G9"/>
    </sheetView>
  </sheetViews>
  <sheetFormatPr defaultRowHeight="14.5" x14ac:dyDescent="0.35"/>
  <cols>
    <col min="1" max="1" width="21.36328125" bestFit="1" customWidth="1"/>
    <col min="2" max="2" width="11.81640625" bestFit="1" customWidth="1"/>
    <col min="3" max="3" width="7.81640625" bestFit="1" customWidth="1"/>
    <col min="4" max="4" width="11.81640625" bestFit="1" customWidth="1"/>
    <col min="5" max="5" width="15.453125" bestFit="1" customWidth="1"/>
    <col min="6" max="6" width="11" bestFit="1" customWidth="1"/>
  </cols>
  <sheetData>
    <row r="1" spans="1:6" ht="30" customHeight="1" x14ac:dyDescent="0.4">
      <c r="A1" s="6" t="s">
        <v>110</v>
      </c>
      <c r="B1" s="7"/>
      <c r="C1" s="7"/>
      <c r="D1" s="7"/>
      <c r="E1" s="7"/>
      <c r="F1" s="7"/>
    </row>
    <row r="2" spans="1:6" x14ac:dyDescent="0.35">
      <c r="A2" s="8" t="s">
        <v>111</v>
      </c>
      <c r="B2" s="7"/>
      <c r="C2" s="7"/>
      <c r="D2" s="7"/>
      <c r="E2" s="7"/>
      <c r="F2" s="7"/>
    </row>
    <row r="3" spans="1:6" x14ac:dyDescent="0.35">
      <c r="A3" s="9"/>
      <c r="B3" s="9"/>
      <c r="C3" s="9"/>
      <c r="D3" s="9"/>
      <c r="E3" s="9"/>
      <c r="F3" s="9"/>
    </row>
    <row r="4" spans="1:6" x14ac:dyDescent="0.35">
      <c r="A4" s="10" t="s">
        <v>112</v>
      </c>
      <c r="B4" s="7"/>
      <c r="C4" s="7"/>
      <c r="D4" s="7"/>
      <c r="E4" s="7"/>
      <c r="F4" s="7"/>
    </row>
    <row r="5" spans="1:6" x14ac:dyDescent="0.35">
      <c r="A5" s="13" t="s">
        <v>113</v>
      </c>
      <c r="B5" s="13" t="s">
        <v>114</v>
      </c>
      <c r="C5" s="13" t="s">
        <v>115</v>
      </c>
      <c r="D5" s="13" t="s">
        <v>116</v>
      </c>
      <c r="E5" s="13" t="s">
        <v>117</v>
      </c>
      <c r="F5" s="13" t="s">
        <v>118</v>
      </c>
    </row>
    <row r="6" spans="1:6" x14ac:dyDescent="0.35">
      <c r="A6" s="9" t="s">
        <v>119</v>
      </c>
      <c r="B6" s="24">
        <f>'Operating Model'!G10</f>
        <v>5167.1290383664027</v>
      </c>
      <c r="C6" s="25">
        <f>'Sources &amp; Assumptions'!B25</f>
        <v>7</v>
      </c>
      <c r="D6" s="24">
        <f>B6*C6</f>
        <v>36169.90326856482</v>
      </c>
      <c r="E6" s="24">
        <f>D6-'Sources &amp; Assumptions'!B26</f>
        <v>25606.90326856482</v>
      </c>
      <c r="F6" s="23">
        <f>E6/'Sources &amp; Assumptions'!B27</f>
        <v>3.8798338285704275</v>
      </c>
    </row>
    <row r="7" spans="1:6" x14ac:dyDescent="0.35">
      <c r="A7" s="9"/>
      <c r="B7" s="9"/>
      <c r="C7" s="9"/>
      <c r="D7" s="9"/>
      <c r="E7" s="9"/>
      <c r="F7" s="9"/>
    </row>
    <row r="8" spans="1:6" x14ac:dyDescent="0.35">
      <c r="A8" s="9"/>
      <c r="B8" s="9"/>
      <c r="C8" s="9"/>
      <c r="D8" s="9"/>
      <c r="E8" s="9"/>
      <c r="F8" s="9"/>
    </row>
    <row r="9" spans="1:6" x14ac:dyDescent="0.35">
      <c r="A9" s="10" t="s">
        <v>120</v>
      </c>
      <c r="B9" s="7"/>
      <c r="C9" s="7"/>
      <c r="D9" s="7"/>
      <c r="E9" s="9"/>
      <c r="F9" s="9"/>
    </row>
    <row r="10" spans="1:6" x14ac:dyDescent="0.35">
      <c r="A10" s="9" t="s">
        <v>121</v>
      </c>
      <c r="B10" s="23">
        <f>'DCF &amp; Sensitivity'!B19</f>
        <v>6.4814716654607327</v>
      </c>
      <c r="C10" s="9"/>
      <c r="D10" s="9"/>
      <c r="E10" s="9"/>
      <c r="F10" s="9"/>
    </row>
    <row r="11" spans="1:6" x14ac:dyDescent="0.35">
      <c r="A11" s="9" t="s">
        <v>122</v>
      </c>
      <c r="B11" s="23">
        <f>F6</f>
        <v>3.8798338285704275</v>
      </c>
      <c r="C11" s="9"/>
      <c r="D11" s="9"/>
      <c r="E11" s="9"/>
      <c r="F11" s="9"/>
    </row>
    <row r="12" spans="1:6" x14ac:dyDescent="0.35">
      <c r="A12" s="9" t="s">
        <v>70</v>
      </c>
      <c r="B12" s="23">
        <f>'Sources &amp; Assumptions'!B28</f>
        <v>4.2</v>
      </c>
      <c r="C12" s="9"/>
      <c r="D12" s="9"/>
      <c r="E12" s="9"/>
      <c r="F12" s="9"/>
    </row>
    <row r="13" spans="1:6" x14ac:dyDescent="0.35">
      <c r="A13" s="9" t="s">
        <v>123</v>
      </c>
      <c r="B13" s="17">
        <f>'DCF &amp; Sensitivity'!B21</f>
        <v>0.54320753939541255</v>
      </c>
      <c r="C13" s="9"/>
      <c r="D13" s="9"/>
      <c r="E13" s="9"/>
      <c r="F13" s="9"/>
    </row>
    <row r="14" spans="1:6" x14ac:dyDescent="0.35">
      <c r="A14" s="9" t="s">
        <v>124</v>
      </c>
      <c r="B14" s="14">
        <f>'Operating Model'!G10</f>
        <v>5167.1290383664027</v>
      </c>
      <c r="C14" s="9"/>
      <c r="D14" s="9"/>
      <c r="E14" s="9"/>
      <c r="F14" s="9"/>
    </row>
    <row r="15" spans="1:6" x14ac:dyDescent="0.35">
      <c r="A15" s="9" t="s">
        <v>125</v>
      </c>
      <c r="B15" s="14">
        <f>'Operating Model'!G15</f>
        <v>3197.7699168416893</v>
      </c>
      <c r="C15" s="9"/>
      <c r="D15" s="9"/>
      <c r="E15" s="9"/>
      <c r="F15" s="9"/>
    </row>
    <row r="16" spans="1:6" x14ac:dyDescent="0.35">
      <c r="A16" s="9"/>
      <c r="B16" s="9"/>
      <c r="C16" s="9"/>
      <c r="D16" s="9"/>
      <c r="E16" s="9"/>
      <c r="F16" s="9"/>
    </row>
    <row r="17" spans="1:6" x14ac:dyDescent="0.35">
      <c r="A17" s="9"/>
      <c r="B17" s="9"/>
      <c r="C17" s="9"/>
      <c r="D17" s="9"/>
      <c r="E17" s="9"/>
      <c r="F17" s="9"/>
    </row>
    <row r="18" spans="1:6" x14ac:dyDescent="0.35">
      <c r="A18" s="10" t="s">
        <v>126</v>
      </c>
      <c r="B18" s="7"/>
      <c r="C18" s="7"/>
      <c r="D18" s="7"/>
      <c r="E18" s="7"/>
      <c r="F18" s="7"/>
    </row>
    <row r="19" spans="1:6" ht="27" customHeight="1" x14ac:dyDescent="0.35">
      <c r="A19" s="26" t="s">
        <v>127</v>
      </c>
      <c r="B19" s="7"/>
      <c r="C19" s="7"/>
      <c r="D19" s="7"/>
      <c r="E19" s="7"/>
      <c r="F19" s="7"/>
    </row>
    <row r="20" spans="1:6" ht="27" customHeight="1" x14ac:dyDescent="0.35">
      <c r="A20" s="26" t="s">
        <v>128</v>
      </c>
      <c r="B20" s="7"/>
      <c r="C20" s="7"/>
      <c r="D20" s="7"/>
      <c r="E20" s="7"/>
      <c r="F20" s="7"/>
    </row>
    <row r="21" spans="1:6" ht="27" customHeight="1" x14ac:dyDescent="0.35">
      <c r="A21" s="26" t="s">
        <v>129</v>
      </c>
      <c r="B21" s="7"/>
      <c r="C21" s="7"/>
      <c r="D21" s="7"/>
      <c r="E21" s="7"/>
      <c r="F21" s="7"/>
    </row>
    <row r="22" spans="1:6" ht="27" customHeight="1" x14ac:dyDescent="0.35">
      <c r="A22" s="26" t="s">
        <v>130</v>
      </c>
      <c r="B22" s="7"/>
      <c r="C22" s="7"/>
      <c r="D22" s="7"/>
      <c r="E22" s="7"/>
      <c r="F22" s="7"/>
    </row>
    <row r="23" spans="1:6" ht="27" customHeight="1" x14ac:dyDescent="0.35">
      <c r="A23" s="26" t="s">
        <v>131</v>
      </c>
      <c r="B23" s="7"/>
      <c r="C23" s="7"/>
      <c r="D23" s="7"/>
      <c r="E23" s="7"/>
      <c r="F23" s="7"/>
    </row>
  </sheetData>
  <mergeCells count="10">
    <mergeCell ref="A2:F2"/>
    <mergeCell ref="A9:D9"/>
    <mergeCell ref="A19:F19"/>
    <mergeCell ref="A1:F1"/>
    <mergeCell ref="A23:F23"/>
    <mergeCell ref="A22:F22"/>
    <mergeCell ref="A18:F18"/>
    <mergeCell ref="A4:F4"/>
    <mergeCell ref="A20:F20"/>
    <mergeCell ref="A21:F21"/>
  </mergeCells>
  <pageMargins left="0.75" right="0.75" top="1" bottom="1" header="0.5" footer="0.5"/>
  <headerFooter>
    <oddFooter>&amp;CEducational portfolio model | Not investment advice | Verify all figures and assumptions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Sources &amp; Assumptions</vt:lpstr>
      <vt:lpstr>Operating Model</vt:lpstr>
      <vt:lpstr>DCF &amp; Sensitivity</vt:lpstr>
      <vt:lpstr>Comps &amp;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yuvraj gupta</cp:lastModifiedBy>
  <dcterms:created xsi:type="dcterms:W3CDTF">2026-10-13T18:55:03Z</dcterms:created>
  <dcterms:modified xsi:type="dcterms:W3CDTF">2026-10-14T12:31:10Z</dcterms:modified>
</cp:coreProperties>
</file>