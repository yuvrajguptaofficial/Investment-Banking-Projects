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HP\Desktop\Investment Banking Portfolio\Project 2 Illustrative M&amp;A merger model\"/>
    </mc:Choice>
  </mc:AlternateContent>
  <xr:revisionPtr revIDLastSave="0" documentId="13_ncr:1_{0D9C1605-2448-4FF3-8FB9-175BEFDBF40B}" xr6:coauthVersionLast="47" xr6:coauthVersionMax="47" xr10:uidLastSave="{00000000-0000-0000-0000-000000000000}"/>
  <bookViews>
    <workbookView xWindow="-110" yWindow="-110" windowWidth="19420" windowHeight="10300" firstSheet="2" activeTab="4" xr2:uid="{00000000-000D-0000-FFFF-FFFF00000000}"/>
  </bookViews>
  <sheets>
    <sheet name="Read Me" sheetId="1" r:id="rId1"/>
    <sheet name="Sources &amp; Assumptions" sheetId="2" r:id="rId2"/>
    <sheet name="Purchase Price" sheetId="3" r:id="rId3"/>
    <sheet name="Sources &amp; Uses" sheetId="4" r:id="rId4"/>
    <sheet name="Pro Forma EPS" sheetId="5" r:id="rId5"/>
    <sheet name="Sensitivity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1" i="6" l="1"/>
  <c r="E11" i="6"/>
  <c r="D11" i="6"/>
  <c r="C11" i="6"/>
  <c r="B11" i="6"/>
  <c r="F10" i="6"/>
  <c r="E10" i="6"/>
  <c r="D10" i="6"/>
  <c r="C10" i="6"/>
  <c r="B10" i="6"/>
  <c r="F9" i="6"/>
  <c r="E9" i="6"/>
  <c r="D9" i="6"/>
  <c r="C9" i="6"/>
  <c r="B9" i="6"/>
  <c r="F8" i="6"/>
  <c r="E8" i="6"/>
  <c r="D8" i="6"/>
  <c r="C8" i="6"/>
  <c r="B8" i="6"/>
  <c r="F7" i="6"/>
  <c r="E7" i="6"/>
  <c r="D7" i="6"/>
  <c r="C7" i="6"/>
  <c r="B7" i="6"/>
  <c r="F6" i="6"/>
  <c r="E6" i="6"/>
  <c r="D6" i="6"/>
  <c r="C6" i="6"/>
  <c r="B6" i="6"/>
  <c r="B22" i="5"/>
  <c r="B23" i="5" s="1"/>
  <c r="B16" i="5"/>
  <c r="B8" i="5"/>
  <c r="B9" i="5" s="1"/>
  <c r="B7" i="5"/>
  <c r="B6" i="5"/>
  <c r="B5" i="5"/>
  <c r="B13" i="3"/>
  <c r="B10" i="3"/>
  <c r="B8" i="3"/>
  <c r="B7" i="3"/>
  <c r="B9" i="3" s="1"/>
  <c r="B6" i="3"/>
  <c r="B5" i="3"/>
  <c r="B6" i="4" l="1"/>
  <c r="B11" i="3"/>
  <c r="B12" i="3" s="1"/>
  <c r="B5" i="4"/>
  <c r="B7" i="4" s="1"/>
  <c r="B11" i="5"/>
  <c r="B10" i="5"/>
  <c r="B19" i="5"/>
  <c r="B14" i="3" l="1"/>
  <c r="B17" i="5" s="1"/>
  <c r="B18" i="5" s="1"/>
  <c r="B13" i="4"/>
  <c r="B11" i="4"/>
  <c r="B12" i="5" l="1"/>
  <c r="B13" i="5" s="1"/>
  <c r="B14" i="5" s="1"/>
  <c r="B15" i="5" s="1"/>
  <c r="B12" i="4"/>
  <c r="B14" i="4" s="1"/>
  <c r="B15" i="4" s="1"/>
  <c r="B20" i="5" l="1"/>
  <c r="B21" i="5" s="1"/>
  <c r="B24" i="5"/>
  <c r="B25" i="5" s="1"/>
</calcChain>
</file>

<file path=xl/sharedStrings.xml><?xml version="1.0" encoding="utf-8"?>
<sst xmlns="http://schemas.openxmlformats.org/spreadsheetml/2006/main" count="177" uniqueCount="134">
  <si>
    <t>ILLUSTRATIVE M&amp;A | TESCO / J SAINSBURY</t>
  </si>
  <si>
    <t>Hypothetical transaction mechanics only. Not a proposed deal or recommendation.</t>
  </si>
  <si>
    <t>CASE OVERVIEW</t>
  </si>
  <si>
    <t>Purpose</t>
  </si>
  <si>
    <t>Demonstrates offer price, purchase price, sources &amp; uses, cash/stock/debt mix, synergies, financing cost and EPS accretion/dilution.</t>
  </si>
  <si>
    <t>Reported data</t>
  </si>
  <si>
    <t>Tesco FY26 sales £66,588m, adjusted operating profit £3,152m, net debt £10,563m. Sainsbury FY26 revenue £33,647m, retail underlying operating profit £1,025m, net debt incl. leases £5,743m, underlying EPS 22.3p.</t>
  </si>
  <si>
    <t>Critical caveat</t>
  </si>
  <si>
    <t>A Tesco–Sainsbury combination would face exceptional UK competition and regulatory scrutiny. This is a technical modelling case, not a feasible-deal recommendation.</t>
  </si>
  <si>
    <t>Model limitations</t>
  </si>
  <si>
    <t>Standalone net income, share prices, share counts, premium, synergies, interest rate and funding assumptions are simplified. Full purchase accounting, detailed refinancing, tax structuring and diligence are excluded.</t>
  </si>
  <si>
    <t>Sources</t>
  </si>
  <si>
    <t>Tesco: https://www.tescoplc.com/preliminary-results-202526 | Sainsbury: https://corporate.sainsburys.co.uk/news/press-releases/preliminary-results-for-the-52-weeks-ended-28-february-2026/</t>
  </si>
  <si>
    <t>WORKBOOK FLOW</t>
  </si>
  <si>
    <t>1. Sources &amp; Assumptions: reported headlines and editable transaction inputs.</t>
  </si>
  <si>
    <t>2. Purchase Price: offer premium, equity value, cash/stock consideration and new shares.</t>
  </si>
  <si>
    <t>3. Sources &amp; Uses: funding bridge and balancing check.</t>
  </si>
  <si>
    <t>4. Pro Forma EPS: simplified recurring accretion/dilution and first-year integration-cost impact.</t>
  </si>
  <si>
    <t>5. Sensitivity: premium and synergy-realisation sensitivity.</t>
  </si>
  <si>
    <t>PUBLIC DATA &amp; TRANSACTION ASSUMPTIONS</t>
  </si>
  <si>
    <t>Reported company metrics are distinguished from illustrative analyst assumptions.</t>
  </si>
  <si>
    <t>REPORTED FY2026 HEADLINE DATA</t>
  </si>
  <si>
    <t>Metric</t>
  </si>
  <si>
    <t>Tesco</t>
  </si>
  <si>
    <t>Sainsbury</t>
  </si>
  <si>
    <t>Units / source</t>
  </si>
  <si>
    <t>Status</t>
  </si>
  <si>
    <t>Sales / revenue</t>
  </si>
  <si>
    <t>£m; Tesco comparable sales ex VAT/fuel; Sainsbury group revenue ex VAT incl. fuel</t>
  </si>
  <si>
    <t>Reported</t>
  </si>
  <si>
    <t>Adjusted / underlying operating profit</t>
  </si>
  <si>
    <t>£m; different company-defined measures</t>
  </si>
  <si>
    <t>Net debt</t>
  </si>
  <si>
    <t>£m; Sainsbury includes lease liabilities</t>
  </si>
  <si>
    <t>Underlying basic EPS</t>
  </si>
  <si>
    <t>£/share; Sainsbury 22.3p</t>
  </si>
  <si>
    <t>TRANSACTION &amp; FINANCING ASSUMPTIONS — EDITABLE</t>
  </si>
  <si>
    <t>Assumption</t>
  </si>
  <si>
    <t>Value</t>
  </si>
  <si>
    <t>Units</t>
  </si>
  <si>
    <t>Rationale / caveat</t>
  </si>
  <si>
    <t>Sainsbury unaffected share price</t>
  </si>
  <si>
    <t>£/share</t>
  </si>
  <si>
    <t>Illustrative reference price, not a live quote</t>
  </si>
  <si>
    <t>Analyst assumption</t>
  </si>
  <si>
    <t>Offer premium</t>
  </si>
  <si>
    <t>%</t>
  </si>
  <si>
    <t>Illustrative offer premium</t>
  </si>
  <si>
    <t>Sainsbury diluted shares</t>
  </si>
  <si>
    <t>m shares</t>
  </si>
  <si>
    <t>Rounded assumption; verify latest filings</t>
  </si>
  <si>
    <t>Cash consideration</t>
  </si>
  <si>
    <t>% of purchase price</t>
  </si>
  <si>
    <t>Remainder funded with Tesco shares</t>
  </si>
  <si>
    <t>Debt-funded share of cash</t>
  </si>
  <si>
    <t>% of cash consideration</t>
  </si>
  <si>
    <t>Remaining cash consideration funded with buyer cash</t>
  </si>
  <si>
    <t>Tesco share price</t>
  </si>
  <si>
    <t>Tesco diluted shares</t>
  </si>
  <si>
    <t>Rounded modelling assumption</t>
  </si>
  <si>
    <t>Buyer standalone net income</t>
  </si>
  <si>
    <t>£m</t>
  </si>
  <si>
    <t>Simplified proxy, not statutory net income</t>
  </si>
  <si>
    <t>Target standalone net income</t>
  </si>
  <si>
    <t>Illustrative proxy; not directly sourced</t>
  </si>
  <si>
    <t>Annual pre-tax synergies</t>
  </si>
  <si>
    <t>Aggressive illustrative run-rate assumption, not company guidance</t>
  </si>
  <si>
    <t>Year-one synergy realisation</t>
  </si>
  <si>
    <t>Illustrative</t>
  </si>
  <si>
    <t>One-off integration costs</t>
  </si>
  <si>
    <t>Illustrative; displayed separately</t>
  </si>
  <si>
    <t>Debt interest rate</t>
  </si>
  <si>
    <t>Illustrative cost of new debt</t>
  </si>
  <si>
    <t>Tax rate</t>
  </si>
  <si>
    <t>Simplified normalized rate</t>
  </si>
  <si>
    <t>Tesco FY2025/26 results</t>
  </si>
  <si>
    <t>https://www.tescoplc.com/preliminary-results-202526</t>
  </si>
  <si>
    <t>Sainsbury FY2025/26 results</t>
  </si>
  <si>
    <t>https://corporate.sainsburys.co.uk/news/press-releases/preliminary-results-for-the-52-weeks-ended-28-february-2026/</t>
  </si>
  <si>
    <t>Sainsbury FY2026 annual report</t>
  </si>
  <si>
    <t>https://corporate.sainsburys.co.uk/investors/annual-report-2026/</t>
  </si>
  <si>
    <t>PURCHASE PRICE ANALYSIS</t>
  </si>
  <si>
    <t>Illustrative share offer and consideration split | £m except per-share data</t>
  </si>
  <si>
    <t>OFFER VALUE</t>
  </si>
  <si>
    <t>Unaffected share price</t>
  </si>
  <si>
    <t>Offer price per share</t>
  </si>
  <si>
    <t>Target diluted shares</t>
  </si>
  <si>
    <t>m</t>
  </si>
  <si>
    <t>Equity purchase price</t>
  </si>
  <si>
    <t>Cash consideration %</t>
  </si>
  <si>
    <t>Stock consideration</t>
  </si>
  <si>
    <t>Acquirer share price</t>
  </si>
  <si>
    <t>New shares issued</t>
  </si>
  <si>
    <t>SOURCES &amp; USES OF FUNDS</t>
  </si>
  <si>
    <t>Simplified funding bridge; no target-debt refinancing assumed.</t>
  </si>
  <si>
    <t>USES</t>
  </si>
  <si>
    <t>Purchase of target equity</t>
  </si>
  <si>
    <t>Fees and expenses (2% of equity value)</t>
  </si>
  <si>
    <t>Total uses</t>
  </si>
  <si>
    <t>SOURCES</t>
  </si>
  <si>
    <t>New debt raised</t>
  </si>
  <si>
    <t>Acquirer cash</t>
  </si>
  <si>
    <t>Total sources</t>
  </si>
  <si>
    <t>Sources less uses (should be zero)</t>
  </si>
  <si>
    <t>PRO FORMA EPS ACCRETION / DILUTION</t>
  </si>
  <si>
    <t>Simplified recurring EPS analysis; one-off integration costs shown separately.</t>
  </si>
  <si>
    <t>STANDALONE AND COMBINED EARNINGS</t>
  </si>
  <si>
    <t>Realised pre-tax synergies</t>
  </si>
  <si>
    <t>Tax on synergies</t>
  </si>
  <si>
    <t>After-tax synergies</t>
  </si>
  <si>
    <t>Interest expense</t>
  </si>
  <si>
    <t>After-tax interest expense</t>
  </si>
  <si>
    <t>Pro forma net income</t>
  </si>
  <si>
    <t>Buyer shares outstanding (m)</t>
  </si>
  <si>
    <t>New shares issued (m)</t>
  </si>
  <si>
    <t>Pro forma shares outstanding</t>
  </si>
  <si>
    <t>Buyer standalone EPS</t>
  </si>
  <si>
    <t>Pro forma EPS</t>
  </si>
  <si>
    <t>EPS accretion / (dilution)</t>
  </si>
  <si>
    <t>One-off integration costs, pre-tax</t>
  </si>
  <si>
    <t>After-tax integration costs</t>
  </si>
  <si>
    <t>First-year net income after integration</t>
  </si>
  <si>
    <t>First-year EPS after integration</t>
  </si>
  <si>
    <t>EPS ACCRETION / DILUTION SENSITIVITY</t>
  </si>
  <si>
    <t>Sensitivity varies offer premium and synergy realisation; simplified earnings framework.</t>
  </si>
  <si>
    <t>OFFER PREMIUM VS SYNERGY REALISATION</t>
  </si>
  <si>
    <t>Premium / Synergy</t>
  </si>
  <si>
    <t>25%</t>
  </si>
  <si>
    <t>50%</t>
  </si>
  <si>
    <t>75%</t>
  </si>
  <si>
    <t>100%</t>
  </si>
  <si>
    <t>125%</t>
  </si>
  <si>
    <t>Interpretation</t>
  </si>
  <si>
    <t>Accretion depends on offer premium, synergies, debt funding cost and new shares. Regulatory and execution risks are not quantified.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</si>
</sst>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"/>
    <numFmt numFmtId="165" formatCode="\£0.000"/>
    <numFmt numFmtId="166" formatCode="\£0.00"/>
    <numFmt numFmtId="167" formatCode="0.0%"/>
    <numFmt numFmtId="168" formatCode="#,##0.0;[Red]\(#,##0.0\);\-"/>
  </numFmts>
  <fonts count="8" x14ac:knownFonts="1">
    <font>
      <sz val="11"/>
      <color theme="1"/>
      <name val="Calibri"/>
      <family val="2"/>
      <scheme val="minor"/>
    </font>
    <font>
      <b/>
      <sz val="15"/>
      <color rgb="FFFFFFFF"/>
      <name val="Arial"/>
    </font>
    <font>
      <i/>
      <sz val="9"/>
      <color rgb="FF555555"/>
      <name val="Arial"/>
    </font>
    <font>
      <b/>
      <sz val="11"/>
      <color rgb="FF17365D"/>
      <name val="Calibri"/>
    </font>
    <font>
      <b/>
      <sz val="11"/>
      <color rgb="FFFFFFFF"/>
      <name val="Calibri"/>
    </font>
    <font>
      <sz val="11"/>
      <color rgb="FF008000"/>
      <name val="Calibri"/>
    </font>
    <font>
      <sz val="11"/>
      <color rgb="FF0000FF"/>
      <name val="Calibri"/>
    </font>
    <font>
      <sz val="12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1F4E78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/>
  </cellStyleXfs>
  <cellXfs count="27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2" fillId="0" borderId="1" xfId="0" applyFont="1" applyBorder="1"/>
    <xf numFmtId="0" fontId="0" fillId="0" borderId="1" xfId="0" applyBorder="1"/>
    <xf numFmtId="0" fontId="3" fillId="3" borderId="1" xfId="0" applyFont="1" applyFill="1" applyBorder="1"/>
    <xf numFmtId="0" fontId="3" fillId="0" borderId="1" xfId="0" applyFont="1" applyBorder="1"/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wrapText="1"/>
    </xf>
    <xf numFmtId="0" fontId="4" fillId="4" borderId="1" xfId="0" applyFont="1" applyFill="1" applyBorder="1" applyAlignment="1">
      <alignment horizontal="center" wrapText="1"/>
    </xf>
    <xf numFmtId="164" fontId="0" fillId="0" borderId="1" xfId="0" applyNumberFormat="1" applyBorder="1"/>
    <xf numFmtId="0" fontId="0" fillId="0" borderId="1" xfId="0" applyBorder="1" applyAlignment="1">
      <alignment wrapText="1"/>
    </xf>
    <xf numFmtId="0" fontId="5" fillId="0" borderId="1" xfId="0" applyFont="1" applyBorder="1"/>
    <xf numFmtId="165" fontId="0" fillId="0" borderId="1" xfId="0" applyNumberFormat="1" applyBorder="1"/>
    <xf numFmtId="166" fontId="6" fillId="5" borderId="1" xfId="0" applyNumberFormat="1" applyFont="1" applyFill="1" applyBorder="1"/>
    <xf numFmtId="167" fontId="6" fillId="5" borderId="1" xfId="0" applyNumberFormat="1" applyFont="1" applyFill="1" applyBorder="1"/>
    <xf numFmtId="164" fontId="6" fillId="5" borderId="1" xfId="0" applyNumberFormat="1" applyFont="1" applyFill="1" applyBorder="1"/>
    <xf numFmtId="0" fontId="7" fillId="0" borderId="1" xfId="1" applyBorder="1"/>
    <xf numFmtId="166" fontId="5" fillId="0" borderId="1" xfId="0" applyNumberFormat="1" applyFont="1" applyBorder="1"/>
    <xf numFmtId="167" fontId="5" fillId="0" borderId="1" xfId="0" applyNumberFormat="1" applyFont="1" applyBorder="1"/>
    <xf numFmtId="164" fontId="5" fillId="0" borderId="1" xfId="0" applyNumberFormat="1" applyFont="1" applyBorder="1"/>
    <xf numFmtId="168" fontId="5" fillId="0" borderId="1" xfId="0" applyNumberFormat="1" applyFont="1" applyBorder="1"/>
    <xf numFmtId="165" fontId="5" fillId="0" borderId="1" xfId="0" applyNumberFormat="1" applyFont="1" applyBorder="1"/>
    <xf numFmtId="9" fontId="4" fillId="4" borderId="1" xfId="0" applyNumberFormat="1" applyFont="1" applyFill="1" applyBorder="1" applyAlignment="1">
      <alignment horizontal="center" wrapText="1"/>
    </xf>
    <xf numFmtId="9" fontId="0" fillId="0" borderId="1" xfId="0" applyNumberFormat="1" applyBorder="1"/>
    <xf numFmtId="167" fontId="0" fillId="0" borderId="1" xfId="0" applyNumberFormat="1" applyBorder="1"/>
    <xf numFmtId="0" fontId="0" fillId="0" borderId="1" xfId="0" applyBorder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corporate.sainsburys.co.uk/investors/annual-report-2026/" TargetMode="External"/><Relationship Id="rId2" Type="http://schemas.openxmlformats.org/officeDocument/2006/relationships/hyperlink" Target="https://corporate.sainsburys.co.uk/news/press-releases/preliminary-results-for-the-52-weeks-ended-28-february-2026/" TargetMode="External"/><Relationship Id="rId1" Type="http://schemas.openxmlformats.org/officeDocument/2006/relationships/hyperlink" Target="https://www.tescoplc.com/preliminary-results-20252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"/>
  <sheetViews>
    <sheetView showGridLines="0" workbookViewId="0">
      <pane xSplit="1" ySplit="3" topLeftCell="B8" activePane="bottomRight" state="frozen"/>
      <selection pane="topRight"/>
      <selection pane="bottomLeft"/>
      <selection pane="bottomRight" activeCell="B19" sqref="B19"/>
    </sheetView>
  </sheetViews>
  <sheetFormatPr defaultRowHeight="14.5" x14ac:dyDescent="0.35"/>
  <cols>
    <col min="1" max="1" width="15.6328125" bestFit="1" customWidth="1"/>
    <col min="2" max="2" width="27.453125" customWidth="1"/>
    <col min="3" max="7" width="18" customWidth="1"/>
  </cols>
  <sheetData>
    <row r="1" spans="1:7" ht="30" customHeight="1" x14ac:dyDescent="0.4">
      <c r="A1" s="1" t="s">
        <v>0</v>
      </c>
      <c r="B1" s="2"/>
      <c r="C1" s="2"/>
      <c r="D1" s="2"/>
      <c r="E1" s="2"/>
      <c r="F1" s="2"/>
      <c r="G1" s="2"/>
    </row>
    <row r="2" spans="1:7" x14ac:dyDescent="0.35">
      <c r="A2" s="3" t="s">
        <v>1</v>
      </c>
      <c r="B2" s="2"/>
      <c r="C2" s="2"/>
      <c r="D2" s="2"/>
      <c r="E2" s="2"/>
      <c r="F2" s="2"/>
      <c r="G2" s="2"/>
    </row>
    <row r="3" spans="1:7" x14ac:dyDescent="0.35">
      <c r="A3" s="4"/>
      <c r="B3" s="4"/>
      <c r="C3" s="4"/>
      <c r="D3" s="4"/>
      <c r="E3" s="4"/>
      <c r="F3" s="4"/>
      <c r="G3" s="4"/>
    </row>
    <row r="4" spans="1:7" x14ac:dyDescent="0.35">
      <c r="A4" s="5" t="s">
        <v>2</v>
      </c>
      <c r="B4" s="2"/>
      <c r="C4" s="2"/>
      <c r="D4" s="2"/>
      <c r="E4" s="2"/>
      <c r="F4" s="2"/>
      <c r="G4" s="2"/>
    </row>
    <row r="5" spans="1:7" ht="48" customHeight="1" x14ac:dyDescent="0.35">
      <c r="A5" s="6" t="s">
        <v>3</v>
      </c>
      <c r="B5" s="7" t="s">
        <v>4</v>
      </c>
      <c r="C5" s="2"/>
      <c r="D5" s="2"/>
      <c r="E5" s="2"/>
      <c r="F5" s="2"/>
      <c r="G5" s="2"/>
    </row>
    <row r="6" spans="1:7" ht="48" customHeight="1" x14ac:dyDescent="0.35">
      <c r="A6" s="6" t="s">
        <v>5</v>
      </c>
      <c r="B6" s="7" t="s">
        <v>6</v>
      </c>
      <c r="C6" s="2"/>
      <c r="D6" s="2"/>
      <c r="E6" s="2"/>
      <c r="F6" s="2"/>
      <c r="G6" s="2"/>
    </row>
    <row r="7" spans="1:7" ht="48" customHeight="1" x14ac:dyDescent="0.35">
      <c r="A7" s="6" t="s">
        <v>7</v>
      </c>
      <c r="B7" s="7" t="s">
        <v>8</v>
      </c>
      <c r="C7" s="2"/>
      <c r="D7" s="2"/>
      <c r="E7" s="2"/>
      <c r="F7" s="2"/>
      <c r="G7" s="2"/>
    </row>
    <row r="8" spans="1:7" ht="48" customHeight="1" x14ac:dyDescent="0.35">
      <c r="A8" s="6" t="s">
        <v>9</v>
      </c>
      <c r="B8" s="7" t="s">
        <v>10</v>
      </c>
      <c r="C8" s="2"/>
      <c r="D8" s="2"/>
      <c r="E8" s="2"/>
      <c r="F8" s="2"/>
      <c r="G8" s="2"/>
    </row>
    <row r="9" spans="1:7" ht="48" customHeight="1" x14ac:dyDescent="0.35">
      <c r="A9" s="6" t="s">
        <v>11</v>
      </c>
      <c r="B9" s="7" t="s">
        <v>12</v>
      </c>
      <c r="C9" s="2"/>
      <c r="D9" s="2"/>
      <c r="E9" s="2"/>
      <c r="F9" s="2"/>
      <c r="G9" s="2"/>
    </row>
    <row r="12" spans="1:7" x14ac:dyDescent="0.35">
      <c r="A12" s="5" t="s">
        <v>13</v>
      </c>
      <c r="B12" s="2"/>
      <c r="C12" s="2"/>
      <c r="D12" s="2"/>
      <c r="E12" s="2"/>
      <c r="F12" s="2"/>
      <c r="G12" s="2"/>
    </row>
    <row r="13" spans="1:7" x14ac:dyDescent="0.35">
      <c r="A13" s="8" t="s">
        <v>14</v>
      </c>
      <c r="B13" s="2"/>
      <c r="C13" s="2"/>
      <c r="D13" s="2"/>
      <c r="E13" s="2"/>
      <c r="F13" s="2"/>
      <c r="G13" s="2"/>
    </row>
    <row r="14" spans="1:7" x14ac:dyDescent="0.35">
      <c r="A14" s="8" t="s">
        <v>15</v>
      </c>
      <c r="B14" s="2"/>
      <c r="C14" s="2"/>
      <c r="D14" s="2"/>
      <c r="E14" s="2"/>
      <c r="F14" s="2"/>
      <c r="G14" s="2"/>
    </row>
    <row r="15" spans="1:7" x14ac:dyDescent="0.35">
      <c r="A15" s="8" t="s">
        <v>16</v>
      </c>
      <c r="B15" s="2"/>
      <c r="C15" s="2"/>
      <c r="D15" s="2"/>
      <c r="E15" s="2"/>
      <c r="F15" s="2"/>
      <c r="G15" s="2"/>
    </row>
    <row r="16" spans="1:7" x14ac:dyDescent="0.35">
      <c r="A16" s="8" t="s">
        <v>17</v>
      </c>
      <c r="B16" s="2"/>
      <c r="C16" s="2"/>
      <c r="D16" s="2"/>
      <c r="E16" s="2"/>
      <c r="F16" s="2"/>
      <c r="G16" s="2"/>
    </row>
    <row r="17" spans="1:7" x14ac:dyDescent="0.35">
      <c r="A17" s="8" t="s">
        <v>18</v>
      </c>
      <c r="B17" s="2"/>
      <c r="C17" s="2"/>
      <c r="D17" s="2"/>
      <c r="E17" s="2"/>
      <c r="F17" s="2"/>
      <c r="G17" s="2"/>
    </row>
  </sheetData>
  <mergeCells count="14">
    <mergeCell ref="A13:G13"/>
    <mergeCell ref="A14:G14"/>
    <mergeCell ref="A1:G1"/>
    <mergeCell ref="A17:G17"/>
    <mergeCell ref="B5:G5"/>
    <mergeCell ref="B9:G9"/>
    <mergeCell ref="A4:G4"/>
    <mergeCell ref="B8:G8"/>
    <mergeCell ref="A12:G12"/>
    <mergeCell ref="A2:G2"/>
    <mergeCell ref="A16:G16"/>
    <mergeCell ref="A15:G15"/>
    <mergeCell ref="B7:G7"/>
    <mergeCell ref="B6:G6"/>
  </mergeCells>
  <pageMargins left="0.75" right="0.75" top="1" bottom="1" header="0.5" footer="0.5"/>
  <headerFooter>
    <oddFooter>&amp;CEducational M&amp;A case | Hypothetical scenario | Not investment advice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2"/>
  <sheetViews>
    <sheetView showGridLines="0" workbookViewId="0">
      <pane xSplit="1" ySplit="3" topLeftCell="B19" activePane="bottomRight" state="frozen"/>
      <selection pane="topRight"/>
      <selection pane="bottomLeft"/>
      <selection pane="bottomRight" activeCell="C26" sqref="C26"/>
    </sheetView>
  </sheetViews>
  <sheetFormatPr defaultRowHeight="14.5" x14ac:dyDescent="0.35"/>
  <cols>
    <col min="1" max="1" width="32.7265625" bestFit="1" customWidth="1"/>
    <col min="2" max="2" width="7.81640625" bestFit="1" customWidth="1"/>
    <col min="3" max="3" width="20.6328125" bestFit="1" customWidth="1"/>
    <col min="4" max="4" width="59.36328125" bestFit="1" customWidth="1"/>
    <col min="5" max="5" width="17.26953125" bestFit="1" customWidth="1"/>
  </cols>
  <sheetData>
    <row r="1" spans="1:5" ht="30" customHeight="1" x14ac:dyDescent="0.4">
      <c r="A1" s="1" t="s">
        <v>19</v>
      </c>
      <c r="B1" s="2"/>
      <c r="C1" s="2"/>
      <c r="D1" s="2"/>
      <c r="E1" s="2"/>
    </row>
    <row r="2" spans="1:5" x14ac:dyDescent="0.35">
      <c r="A2" s="3" t="s">
        <v>20</v>
      </c>
      <c r="B2" s="2"/>
      <c r="C2" s="2"/>
      <c r="D2" s="2"/>
      <c r="E2" s="2"/>
    </row>
    <row r="3" spans="1:5" x14ac:dyDescent="0.35">
      <c r="A3" s="4"/>
      <c r="B3" s="4"/>
      <c r="C3" s="4"/>
      <c r="D3" s="4"/>
      <c r="E3" s="4"/>
    </row>
    <row r="4" spans="1:5" x14ac:dyDescent="0.35">
      <c r="A4" s="5" t="s">
        <v>21</v>
      </c>
      <c r="B4" s="2"/>
      <c r="C4" s="2"/>
      <c r="D4" s="2"/>
      <c r="E4" s="2"/>
    </row>
    <row r="5" spans="1:5" x14ac:dyDescent="0.35">
      <c r="A5" s="9" t="s">
        <v>22</v>
      </c>
      <c r="B5" s="9" t="s">
        <v>23</v>
      </c>
      <c r="C5" s="9" t="s">
        <v>24</v>
      </c>
      <c r="D5" s="9" t="s">
        <v>25</v>
      </c>
      <c r="E5" s="9" t="s">
        <v>26</v>
      </c>
    </row>
    <row r="6" spans="1:5" ht="29" x14ac:dyDescent="0.35">
      <c r="A6" s="4" t="s">
        <v>27</v>
      </c>
      <c r="B6" s="10">
        <v>66588</v>
      </c>
      <c r="C6" s="10">
        <v>33647</v>
      </c>
      <c r="D6" s="11" t="s">
        <v>28</v>
      </c>
      <c r="E6" s="12" t="s">
        <v>29</v>
      </c>
    </row>
    <row r="7" spans="1:5" x14ac:dyDescent="0.35">
      <c r="A7" s="4" t="s">
        <v>30</v>
      </c>
      <c r="B7" s="10">
        <v>3152</v>
      </c>
      <c r="C7" s="10">
        <v>1025</v>
      </c>
      <c r="D7" s="11" t="s">
        <v>31</v>
      </c>
      <c r="E7" s="12" t="s">
        <v>29</v>
      </c>
    </row>
    <row r="8" spans="1:5" x14ac:dyDescent="0.35">
      <c r="A8" s="4" t="s">
        <v>32</v>
      </c>
      <c r="B8" s="10">
        <v>10563</v>
      </c>
      <c r="C8" s="10">
        <v>5743</v>
      </c>
      <c r="D8" s="11" t="s">
        <v>33</v>
      </c>
      <c r="E8" s="12" t="s">
        <v>29</v>
      </c>
    </row>
    <row r="9" spans="1:5" x14ac:dyDescent="0.35">
      <c r="A9" s="4" t="s">
        <v>34</v>
      </c>
      <c r="B9" s="10"/>
      <c r="C9" s="13">
        <v>0.223</v>
      </c>
      <c r="D9" s="11" t="s">
        <v>35</v>
      </c>
      <c r="E9" s="12" t="s">
        <v>29</v>
      </c>
    </row>
    <row r="10" spans="1:5" x14ac:dyDescent="0.35">
      <c r="A10" s="4"/>
      <c r="B10" s="4"/>
      <c r="C10" s="4"/>
      <c r="D10" s="4"/>
      <c r="E10" s="4"/>
    </row>
    <row r="11" spans="1:5" x14ac:dyDescent="0.35">
      <c r="A11" s="4"/>
      <c r="B11" s="4"/>
      <c r="C11" s="4"/>
      <c r="D11" s="4"/>
      <c r="E11" s="4"/>
    </row>
    <row r="12" spans="1:5" x14ac:dyDescent="0.35">
      <c r="A12" s="5" t="s">
        <v>36</v>
      </c>
      <c r="B12" s="2"/>
      <c r="C12" s="2"/>
      <c r="D12" s="2"/>
      <c r="E12" s="2"/>
    </row>
    <row r="13" spans="1:5" x14ac:dyDescent="0.35">
      <c r="A13" s="9" t="s">
        <v>37</v>
      </c>
      <c r="B13" s="9" t="s">
        <v>38</v>
      </c>
      <c r="C13" s="9" t="s">
        <v>39</v>
      </c>
      <c r="D13" s="9" t="s">
        <v>40</v>
      </c>
      <c r="E13" s="9" t="s">
        <v>26</v>
      </c>
    </row>
    <row r="14" spans="1:5" ht="31" customHeight="1" x14ac:dyDescent="0.35">
      <c r="A14" s="4" t="s">
        <v>41</v>
      </c>
      <c r="B14" s="14">
        <v>3</v>
      </c>
      <c r="C14" s="4" t="s">
        <v>42</v>
      </c>
      <c r="D14" s="11" t="s">
        <v>43</v>
      </c>
      <c r="E14" s="4" t="s">
        <v>44</v>
      </c>
    </row>
    <row r="15" spans="1:5" ht="31" customHeight="1" x14ac:dyDescent="0.35">
      <c r="A15" s="4" t="s">
        <v>45</v>
      </c>
      <c r="B15" s="15">
        <v>0.3</v>
      </c>
      <c r="C15" s="4" t="s">
        <v>46</v>
      </c>
      <c r="D15" s="11" t="s">
        <v>47</v>
      </c>
      <c r="E15" s="4" t="s">
        <v>44</v>
      </c>
    </row>
    <row r="16" spans="1:5" ht="31" customHeight="1" x14ac:dyDescent="0.35">
      <c r="A16" s="4" t="s">
        <v>48</v>
      </c>
      <c r="B16" s="16">
        <v>2300</v>
      </c>
      <c r="C16" s="4" t="s">
        <v>49</v>
      </c>
      <c r="D16" s="11" t="s">
        <v>50</v>
      </c>
      <c r="E16" s="4" t="s">
        <v>44</v>
      </c>
    </row>
    <row r="17" spans="1:5" ht="31" customHeight="1" x14ac:dyDescent="0.35">
      <c r="A17" s="4" t="s">
        <v>51</v>
      </c>
      <c r="B17" s="15">
        <v>0.6</v>
      </c>
      <c r="C17" s="4" t="s">
        <v>52</v>
      </c>
      <c r="D17" s="11" t="s">
        <v>53</v>
      </c>
      <c r="E17" s="4" t="s">
        <v>44</v>
      </c>
    </row>
    <row r="18" spans="1:5" ht="31" customHeight="1" x14ac:dyDescent="0.35">
      <c r="A18" s="4" t="s">
        <v>54</v>
      </c>
      <c r="B18" s="15">
        <v>0.5</v>
      </c>
      <c r="C18" s="4" t="s">
        <v>55</v>
      </c>
      <c r="D18" s="11" t="s">
        <v>56</v>
      </c>
      <c r="E18" s="4" t="s">
        <v>44</v>
      </c>
    </row>
    <row r="19" spans="1:5" ht="31" customHeight="1" x14ac:dyDescent="0.35">
      <c r="A19" s="4" t="s">
        <v>57</v>
      </c>
      <c r="B19" s="14">
        <v>4.2</v>
      </c>
      <c r="C19" s="4" t="s">
        <v>42</v>
      </c>
      <c r="D19" s="11" t="s">
        <v>43</v>
      </c>
      <c r="E19" s="4" t="s">
        <v>44</v>
      </c>
    </row>
    <row r="20" spans="1:5" ht="31" customHeight="1" x14ac:dyDescent="0.35">
      <c r="A20" s="4" t="s">
        <v>58</v>
      </c>
      <c r="B20" s="16">
        <v>6600</v>
      </c>
      <c r="C20" s="4" t="s">
        <v>49</v>
      </c>
      <c r="D20" s="11" t="s">
        <v>59</v>
      </c>
      <c r="E20" s="4" t="s">
        <v>44</v>
      </c>
    </row>
    <row r="21" spans="1:5" ht="31" customHeight="1" x14ac:dyDescent="0.35">
      <c r="A21" s="4" t="s">
        <v>60</v>
      </c>
      <c r="B21" s="16">
        <v>1900</v>
      </c>
      <c r="C21" s="4" t="s">
        <v>61</v>
      </c>
      <c r="D21" s="11" t="s">
        <v>62</v>
      </c>
      <c r="E21" s="4" t="s">
        <v>44</v>
      </c>
    </row>
    <row r="22" spans="1:5" ht="31" customHeight="1" x14ac:dyDescent="0.35">
      <c r="A22" s="4" t="s">
        <v>63</v>
      </c>
      <c r="B22" s="16">
        <v>520</v>
      </c>
      <c r="C22" s="4" t="s">
        <v>61</v>
      </c>
      <c r="D22" s="11" t="s">
        <v>64</v>
      </c>
      <c r="E22" s="4" t="s">
        <v>44</v>
      </c>
    </row>
    <row r="23" spans="1:5" ht="31" customHeight="1" x14ac:dyDescent="0.35">
      <c r="A23" s="4" t="s">
        <v>65</v>
      </c>
      <c r="B23" s="16">
        <v>450</v>
      </c>
      <c r="C23" s="4" t="s">
        <v>61</v>
      </c>
      <c r="D23" s="11" t="s">
        <v>66</v>
      </c>
      <c r="E23" s="4" t="s">
        <v>44</v>
      </c>
    </row>
    <row r="24" spans="1:5" ht="31" customHeight="1" x14ac:dyDescent="0.35">
      <c r="A24" s="4" t="s">
        <v>67</v>
      </c>
      <c r="B24" s="15">
        <v>0.75</v>
      </c>
      <c r="C24" s="4" t="s">
        <v>46</v>
      </c>
      <c r="D24" s="11" t="s">
        <v>68</v>
      </c>
      <c r="E24" s="4" t="s">
        <v>44</v>
      </c>
    </row>
    <row r="25" spans="1:5" ht="31" customHeight="1" x14ac:dyDescent="0.35">
      <c r="A25" s="4" t="s">
        <v>69</v>
      </c>
      <c r="B25" s="16">
        <v>500</v>
      </c>
      <c r="C25" s="4" t="s">
        <v>61</v>
      </c>
      <c r="D25" s="11" t="s">
        <v>70</v>
      </c>
      <c r="E25" s="4" t="s">
        <v>44</v>
      </c>
    </row>
    <row r="26" spans="1:5" ht="31" customHeight="1" x14ac:dyDescent="0.35">
      <c r="A26" s="4" t="s">
        <v>71</v>
      </c>
      <c r="B26" s="15">
        <v>5.5E-2</v>
      </c>
      <c r="C26" s="4" t="s">
        <v>46</v>
      </c>
      <c r="D26" s="11" t="s">
        <v>72</v>
      </c>
      <c r="E26" s="4" t="s">
        <v>44</v>
      </c>
    </row>
    <row r="27" spans="1:5" ht="31" customHeight="1" x14ac:dyDescent="0.35">
      <c r="A27" s="4" t="s">
        <v>73</v>
      </c>
      <c r="B27" s="15">
        <v>0.25</v>
      </c>
      <c r="C27" s="4" t="s">
        <v>46</v>
      </c>
      <c r="D27" s="11" t="s">
        <v>74</v>
      </c>
      <c r="E27" s="4" t="s">
        <v>44</v>
      </c>
    </row>
    <row r="28" spans="1:5" x14ac:dyDescent="0.35">
      <c r="A28" s="4"/>
      <c r="B28" s="4"/>
      <c r="C28" s="4"/>
      <c r="D28" s="4"/>
      <c r="E28" s="4"/>
    </row>
    <row r="29" spans="1:5" x14ac:dyDescent="0.35">
      <c r="A29" s="4"/>
      <c r="B29" s="4"/>
      <c r="C29" s="4"/>
      <c r="D29" s="4"/>
      <c r="E29" s="4"/>
    </row>
    <row r="30" spans="1:5" ht="15.5" x14ac:dyDescent="0.35">
      <c r="A30" s="4" t="s">
        <v>75</v>
      </c>
      <c r="B30" s="17" t="s">
        <v>76</v>
      </c>
      <c r="C30" s="2"/>
      <c r="D30" s="2"/>
      <c r="E30" s="2"/>
    </row>
    <row r="31" spans="1:5" ht="15.5" x14ac:dyDescent="0.35">
      <c r="A31" s="4" t="s">
        <v>77</v>
      </c>
      <c r="B31" s="17" t="s">
        <v>78</v>
      </c>
      <c r="C31" s="2"/>
      <c r="D31" s="2"/>
      <c r="E31" s="2"/>
    </row>
    <row r="32" spans="1:5" ht="15.5" x14ac:dyDescent="0.35">
      <c r="A32" s="4" t="s">
        <v>79</v>
      </c>
      <c r="B32" s="17" t="s">
        <v>80</v>
      </c>
      <c r="C32" s="2"/>
      <c r="D32" s="2"/>
      <c r="E32" s="2"/>
    </row>
  </sheetData>
  <mergeCells count="7">
    <mergeCell ref="A1:E1"/>
    <mergeCell ref="B32:E32"/>
    <mergeCell ref="B31:E31"/>
    <mergeCell ref="A12:E12"/>
    <mergeCell ref="A4:E4"/>
    <mergeCell ref="A2:E2"/>
    <mergeCell ref="B30:E30"/>
  </mergeCells>
  <hyperlinks>
    <hyperlink ref="B30" r:id="rId1" xr:uid="{00000000-0004-0000-0100-000000000000}"/>
    <hyperlink ref="B31" r:id="rId2" xr:uid="{00000000-0004-0000-0100-000001000000}"/>
    <hyperlink ref="B32" r:id="rId3" xr:uid="{00000000-0004-0000-0100-000002000000}"/>
  </hyperlinks>
  <pageMargins left="0.75" right="0.75" top="1" bottom="1" header="0.5" footer="0.5"/>
  <headerFooter>
    <oddFooter>&amp;CEducational M&amp;A case | Hypothetical scenario | Not investment advice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H9" sqref="H9"/>
    </sheetView>
  </sheetViews>
  <sheetFormatPr defaultRowHeight="14.5" x14ac:dyDescent="0.35"/>
  <cols>
    <col min="1" max="1" width="19.81640625" bestFit="1" customWidth="1"/>
    <col min="2" max="2" width="6.81640625" bestFit="1" customWidth="1"/>
    <col min="3" max="3" width="7.26953125" bestFit="1" customWidth="1"/>
    <col min="4" max="5" width="16" customWidth="1"/>
  </cols>
  <sheetData>
    <row r="1" spans="1:5" ht="30" customHeight="1" x14ac:dyDescent="0.4">
      <c r="A1" s="1" t="s">
        <v>81</v>
      </c>
      <c r="B1" s="2"/>
      <c r="C1" s="2"/>
      <c r="D1" s="2"/>
      <c r="E1" s="2"/>
    </row>
    <row r="2" spans="1:5" x14ac:dyDescent="0.35">
      <c r="A2" s="3" t="s">
        <v>82</v>
      </c>
      <c r="B2" s="2"/>
      <c r="C2" s="2"/>
      <c r="D2" s="2"/>
      <c r="E2" s="2"/>
    </row>
    <row r="3" spans="1:5" x14ac:dyDescent="0.35">
      <c r="A3" s="4"/>
      <c r="B3" s="4"/>
      <c r="C3" s="4"/>
      <c r="D3" s="4"/>
      <c r="E3" s="4"/>
    </row>
    <row r="4" spans="1:5" x14ac:dyDescent="0.35">
      <c r="A4" s="5" t="s">
        <v>83</v>
      </c>
      <c r="B4" s="2"/>
      <c r="C4" s="2"/>
      <c r="D4" s="2"/>
      <c r="E4" s="2"/>
    </row>
    <row r="5" spans="1:5" x14ac:dyDescent="0.35">
      <c r="A5" s="4" t="s">
        <v>84</v>
      </c>
      <c r="B5" s="18">
        <f>'Sources &amp; Assumptions'!B14</f>
        <v>3</v>
      </c>
      <c r="C5" s="4" t="s">
        <v>42</v>
      </c>
      <c r="D5" s="4"/>
      <c r="E5" s="4"/>
    </row>
    <row r="6" spans="1:5" x14ac:dyDescent="0.35">
      <c r="A6" s="4" t="s">
        <v>45</v>
      </c>
      <c r="B6" s="19">
        <f>'Sources &amp; Assumptions'!B15</f>
        <v>0.3</v>
      </c>
      <c r="C6" s="4" t="s">
        <v>46</v>
      </c>
      <c r="D6" s="4"/>
      <c r="E6" s="4"/>
    </row>
    <row r="7" spans="1:5" x14ac:dyDescent="0.35">
      <c r="A7" s="4" t="s">
        <v>85</v>
      </c>
      <c r="B7" s="18">
        <f>B5*(1+B6)</f>
        <v>3.9000000000000004</v>
      </c>
      <c r="C7" s="4" t="s">
        <v>42</v>
      </c>
      <c r="D7" s="4"/>
      <c r="E7" s="4"/>
    </row>
    <row r="8" spans="1:5" x14ac:dyDescent="0.35">
      <c r="A8" s="4" t="s">
        <v>86</v>
      </c>
      <c r="B8" s="20">
        <f>'Sources &amp; Assumptions'!B16</f>
        <v>2300</v>
      </c>
      <c r="C8" s="4" t="s">
        <v>87</v>
      </c>
      <c r="D8" s="4"/>
      <c r="E8" s="4"/>
    </row>
    <row r="9" spans="1:5" x14ac:dyDescent="0.35">
      <c r="A9" s="4" t="s">
        <v>88</v>
      </c>
      <c r="B9" s="20">
        <f>B7*B8</f>
        <v>8970</v>
      </c>
      <c r="C9" s="4" t="s">
        <v>61</v>
      </c>
      <c r="D9" s="4"/>
      <c r="E9" s="4"/>
    </row>
    <row r="10" spans="1:5" x14ac:dyDescent="0.35">
      <c r="A10" s="4" t="s">
        <v>89</v>
      </c>
      <c r="B10" s="19">
        <f>'Sources &amp; Assumptions'!B17</f>
        <v>0.6</v>
      </c>
      <c r="C10" s="4" t="s">
        <v>46</v>
      </c>
      <c r="D10" s="4"/>
      <c r="E10" s="4"/>
    </row>
    <row r="11" spans="1:5" x14ac:dyDescent="0.35">
      <c r="A11" s="4" t="s">
        <v>51</v>
      </c>
      <c r="B11" s="20">
        <f>B9*B10</f>
        <v>5382</v>
      </c>
      <c r="C11" s="4" t="s">
        <v>61</v>
      </c>
      <c r="D11" s="4"/>
      <c r="E11" s="4"/>
    </row>
    <row r="12" spans="1:5" x14ac:dyDescent="0.35">
      <c r="A12" s="4" t="s">
        <v>90</v>
      </c>
      <c r="B12" s="20">
        <f>B9-B11</f>
        <v>3588</v>
      </c>
      <c r="C12" s="4" t="s">
        <v>61</v>
      </c>
      <c r="D12" s="4"/>
      <c r="E12" s="4"/>
    </row>
    <row r="13" spans="1:5" x14ac:dyDescent="0.35">
      <c r="A13" s="4" t="s">
        <v>91</v>
      </c>
      <c r="B13" s="18">
        <f>'Sources &amp; Assumptions'!B19</f>
        <v>4.2</v>
      </c>
      <c r="C13" s="4" t="s">
        <v>42</v>
      </c>
      <c r="D13" s="4"/>
      <c r="E13" s="4"/>
    </row>
    <row r="14" spans="1:5" x14ac:dyDescent="0.35">
      <c r="A14" s="4" t="s">
        <v>92</v>
      </c>
      <c r="B14" s="20">
        <f>B12/B13</f>
        <v>854.28571428571422</v>
      </c>
      <c r="C14" s="4" t="s">
        <v>87</v>
      </c>
      <c r="D14" s="4"/>
      <c r="E14" s="4"/>
    </row>
  </sheetData>
  <mergeCells count="3">
    <mergeCell ref="A2:E2"/>
    <mergeCell ref="A1:E1"/>
    <mergeCell ref="A4:E4"/>
  </mergeCells>
  <pageMargins left="0.75" right="0.75" top="1" bottom="1" header="0.5" footer="0.5"/>
  <headerFooter>
    <oddFooter>&amp;CEducational M&amp;A case | Hypothetical scenario | Not investment advice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E6" sqref="E6"/>
    </sheetView>
  </sheetViews>
  <sheetFormatPr defaultRowHeight="14.5" x14ac:dyDescent="0.35"/>
  <cols>
    <col min="1" max="1" width="33.81640625" bestFit="1" customWidth="1"/>
    <col min="2" max="2" width="6.81640625" bestFit="1" customWidth="1"/>
    <col min="3" max="4" width="16" customWidth="1"/>
  </cols>
  <sheetData>
    <row r="1" spans="1:4" ht="30" customHeight="1" x14ac:dyDescent="0.4">
      <c r="A1" s="1" t="s">
        <v>93</v>
      </c>
      <c r="B1" s="2"/>
      <c r="C1" s="2"/>
      <c r="D1" s="2"/>
    </row>
    <row r="2" spans="1:4" x14ac:dyDescent="0.35">
      <c r="A2" s="3" t="s">
        <v>94</v>
      </c>
      <c r="B2" s="2"/>
      <c r="C2" s="2"/>
      <c r="D2" s="2"/>
    </row>
    <row r="3" spans="1:4" x14ac:dyDescent="0.35">
      <c r="A3" s="4"/>
      <c r="B3" s="4"/>
      <c r="C3" s="4"/>
      <c r="D3" s="4"/>
    </row>
    <row r="4" spans="1:4" x14ac:dyDescent="0.35">
      <c r="A4" s="5" t="s">
        <v>95</v>
      </c>
      <c r="B4" s="2"/>
      <c r="C4" s="2"/>
      <c r="D4" s="2"/>
    </row>
    <row r="5" spans="1:4" x14ac:dyDescent="0.35">
      <c r="A5" s="4" t="s">
        <v>96</v>
      </c>
      <c r="B5" s="20">
        <f>'Purchase Price'!B9</f>
        <v>8970</v>
      </c>
      <c r="C5" s="4"/>
      <c r="D5" s="4"/>
    </row>
    <row r="6" spans="1:4" x14ac:dyDescent="0.35">
      <c r="A6" s="4" t="s">
        <v>97</v>
      </c>
      <c r="B6" s="20">
        <f>'Purchase Price'!B9*2%</f>
        <v>179.4</v>
      </c>
      <c r="C6" s="4"/>
      <c r="D6" s="4"/>
    </row>
    <row r="7" spans="1:4" x14ac:dyDescent="0.35">
      <c r="A7" s="4" t="s">
        <v>98</v>
      </c>
      <c r="B7" s="20">
        <f>SUM(B5:B6)</f>
        <v>9149.4</v>
      </c>
      <c r="C7" s="4"/>
      <c r="D7" s="4"/>
    </row>
    <row r="8" spans="1:4" x14ac:dyDescent="0.35">
      <c r="A8" s="4"/>
      <c r="B8" s="4"/>
      <c r="C8" s="4"/>
      <c r="D8" s="4"/>
    </row>
    <row r="9" spans="1:4" x14ac:dyDescent="0.35">
      <c r="A9" s="4"/>
      <c r="B9" s="4"/>
      <c r="C9" s="4"/>
      <c r="D9" s="4"/>
    </row>
    <row r="10" spans="1:4" x14ac:dyDescent="0.35">
      <c r="A10" s="5" t="s">
        <v>99</v>
      </c>
      <c r="B10" s="2"/>
      <c r="C10" s="2"/>
      <c r="D10" s="2"/>
    </row>
    <row r="11" spans="1:4" x14ac:dyDescent="0.35">
      <c r="A11" s="4" t="s">
        <v>100</v>
      </c>
      <c r="B11" s="21">
        <f>'Purchase Price'!B11*'Sources &amp; Assumptions'!B18</f>
        <v>2691</v>
      </c>
      <c r="C11" s="4"/>
      <c r="D11" s="4"/>
    </row>
    <row r="12" spans="1:4" x14ac:dyDescent="0.35">
      <c r="A12" s="4" t="s">
        <v>101</v>
      </c>
      <c r="B12" s="21">
        <f>'Purchase Price'!B11-B11+B6</f>
        <v>2870.4</v>
      </c>
      <c r="C12" s="4"/>
      <c r="D12" s="4"/>
    </row>
    <row r="13" spans="1:4" x14ac:dyDescent="0.35">
      <c r="A13" s="4" t="s">
        <v>90</v>
      </c>
      <c r="B13" s="21">
        <f>'Purchase Price'!B12</f>
        <v>3588</v>
      </c>
      <c r="C13" s="4"/>
      <c r="D13" s="4"/>
    </row>
    <row r="14" spans="1:4" x14ac:dyDescent="0.35">
      <c r="A14" s="4" t="s">
        <v>102</v>
      </c>
      <c r="B14" s="21">
        <f>SUM(B11:B13)</f>
        <v>9149.4</v>
      </c>
      <c r="C14" s="4"/>
      <c r="D14" s="4"/>
    </row>
    <row r="15" spans="1:4" x14ac:dyDescent="0.35">
      <c r="A15" s="4" t="s">
        <v>103</v>
      </c>
      <c r="B15" s="21">
        <f>B14-B7</f>
        <v>0</v>
      </c>
      <c r="C15" s="4"/>
      <c r="D15" s="4"/>
    </row>
  </sheetData>
  <mergeCells count="4">
    <mergeCell ref="A1:D1"/>
    <mergeCell ref="A10:D10"/>
    <mergeCell ref="A4:D4"/>
    <mergeCell ref="A2:D2"/>
  </mergeCells>
  <pageMargins left="0.75" right="0.75" top="1" bottom="1" header="0.5" footer="0.5"/>
  <headerFooter>
    <oddFooter>&amp;CEducational M&amp;A case | Hypothetical scenario | Not investment advice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5"/>
  <sheetViews>
    <sheetView showGridLines="0" tabSelected="1" workbookViewId="0">
      <pane xSplit="1" ySplit="3" topLeftCell="B9" activePane="bottomRight" state="frozen"/>
      <selection pane="topRight"/>
      <selection pane="bottomLeft"/>
      <selection pane="bottomRight" activeCell="G15" sqref="G15"/>
    </sheetView>
  </sheetViews>
  <sheetFormatPr defaultRowHeight="14.5" x14ac:dyDescent="0.35"/>
  <cols>
    <col min="1" max="1" width="32.81640625" bestFit="1" customWidth="1"/>
    <col min="2" max="2" width="8.81640625" bestFit="1" customWidth="1"/>
    <col min="3" max="4" width="16" customWidth="1"/>
  </cols>
  <sheetData>
    <row r="1" spans="1:4" ht="30" customHeight="1" x14ac:dyDescent="0.4">
      <c r="A1" s="1" t="s">
        <v>104</v>
      </c>
      <c r="B1" s="2"/>
      <c r="C1" s="2"/>
      <c r="D1" s="2"/>
    </row>
    <row r="2" spans="1:4" x14ac:dyDescent="0.35">
      <c r="A2" s="3" t="s">
        <v>105</v>
      </c>
      <c r="B2" s="2"/>
      <c r="C2" s="2"/>
      <c r="D2" s="2"/>
    </row>
    <row r="3" spans="1:4" x14ac:dyDescent="0.35">
      <c r="A3" s="4"/>
      <c r="B3" s="4"/>
      <c r="C3" s="4"/>
      <c r="D3" s="4"/>
    </row>
    <row r="4" spans="1:4" x14ac:dyDescent="0.35">
      <c r="A4" s="5" t="s">
        <v>106</v>
      </c>
      <c r="B4" s="2"/>
      <c r="C4" s="2"/>
      <c r="D4" s="2"/>
    </row>
    <row r="5" spans="1:4" x14ac:dyDescent="0.35">
      <c r="A5" s="4" t="s">
        <v>60</v>
      </c>
      <c r="B5" s="20">
        <f>'Sources &amp; Assumptions'!B21</f>
        <v>1900</v>
      </c>
      <c r="C5" s="4"/>
      <c r="D5" s="4"/>
    </row>
    <row r="6" spans="1:4" x14ac:dyDescent="0.35">
      <c r="A6" s="4" t="s">
        <v>63</v>
      </c>
      <c r="B6" s="20">
        <f>'Sources &amp; Assumptions'!B22</f>
        <v>520</v>
      </c>
      <c r="C6" s="4"/>
      <c r="D6" s="4"/>
    </row>
    <row r="7" spans="1:4" x14ac:dyDescent="0.35">
      <c r="A7" s="4" t="s">
        <v>65</v>
      </c>
      <c r="B7" s="20">
        <f>'Sources &amp; Assumptions'!B23</f>
        <v>450</v>
      </c>
      <c r="C7" s="4"/>
      <c r="D7" s="4"/>
    </row>
    <row r="8" spans="1:4" x14ac:dyDescent="0.35">
      <c r="A8" s="4" t="s">
        <v>67</v>
      </c>
      <c r="B8" s="19">
        <f>'Sources &amp; Assumptions'!B24</f>
        <v>0.75</v>
      </c>
      <c r="C8" s="4"/>
      <c r="D8" s="4"/>
    </row>
    <row r="9" spans="1:4" x14ac:dyDescent="0.35">
      <c r="A9" s="4" t="s">
        <v>107</v>
      </c>
      <c r="B9" s="20">
        <f>B7*B8</f>
        <v>337.5</v>
      </c>
      <c r="C9" s="4"/>
      <c r="D9" s="4"/>
    </row>
    <row r="10" spans="1:4" x14ac:dyDescent="0.35">
      <c r="A10" s="4" t="s">
        <v>108</v>
      </c>
      <c r="B10" s="20">
        <f>B9*'Sources &amp; Assumptions'!B27</f>
        <v>84.375</v>
      </c>
      <c r="C10" s="4"/>
      <c r="D10" s="4"/>
    </row>
    <row r="11" spans="1:4" x14ac:dyDescent="0.35">
      <c r="A11" s="4" t="s">
        <v>109</v>
      </c>
      <c r="B11" s="20">
        <f>B9-B10</f>
        <v>253.125</v>
      </c>
      <c r="C11" s="4"/>
      <c r="D11" s="4"/>
    </row>
    <row r="12" spans="1:4" x14ac:dyDescent="0.35">
      <c r="A12" s="4" t="s">
        <v>100</v>
      </c>
      <c r="B12" s="20">
        <f>'Sources &amp; Uses'!B11</f>
        <v>2691</v>
      </c>
      <c r="C12" s="4"/>
      <c r="D12" s="4"/>
    </row>
    <row r="13" spans="1:4" x14ac:dyDescent="0.35">
      <c r="A13" s="4" t="s">
        <v>110</v>
      </c>
      <c r="B13" s="20">
        <f>B12*'Sources &amp; Assumptions'!B26</f>
        <v>148.005</v>
      </c>
      <c r="C13" s="4"/>
      <c r="D13" s="4"/>
    </row>
    <row r="14" spans="1:4" x14ac:dyDescent="0.35">
      <c r="A14" s="4" t="s">
        <v>111</v>
      </c>
      <c r="B14" s="20">
        <f>B13*(1-'Sources &amp; Assumptions'!B27)</f>
        <v>111.00375</v>
      </c>
      <c r="C14" s="4"/>
      <c r="D14" s="4"/>
    </row>
    <row r="15" spans="1:4" x14ac:dyDescent="0.35">
      <c r="A15" s="4" t="s">
        <v>112</v>
      </c>
      <c r="B15" s="20">
        <f>B5+B6+B11-B14</f>
        <v>2562.1212500000001</v>
      </c>
      <c r="C15" s="4"/>
      <c r="D15" s="4"/>
    </row>
    <row r="16" spans="1:4" x14ac:dyDescent="0.35">
      <c r="A16" s="4" t="s">
        <v>113</v>
      </c>
      <c r="B16" s="20">
        <f>'Sources &amp; Assumptions'!B20</f>
        <v>6600</v>
      </c>
      <c r="C16" s="4"/>
      <c r="D16" s="4"/>
    </row>
    <row r="17" spans="1:4" x14ac:dyDescent="0.35">
      <c r="A17" s="4" t="s">
        <v>114</v>
      </c>
      <c r="B17" s="20">
        <f>'Purchase Price'!B14</f>
        <v>854.28571428571422</v>
      </c>
      <c r="C17" s="4"/>
      <c r="D17" s="4"/>
    </row>
    <row r="18" spans="1:4" x14ac:dyDescent="0.35">
      <c r="A18" s="4" t="s">
        <v>115</v>
      </c>
      <c r="B18" s="20">
        <f>B16+B17</f>
        <v>7454.2857142857138</v>
      </c>
      <c r="C18" s="4"/>
      <c r="D18" s="4"/>
    </row>
    <row r="19" spans="1:4" x14ac:dyDescent="0.35">
      <c r="A19" s="4" t="s">
        <v>116</v>
      </c>
      <c r="B19" s="22">
        <f>B5/B16</f>
        <v>0.2878787878787879</v>
      </c>
      <c r="C19" s="4"/>
      <c r="D19" s="4"/>
    </row>
    <row r="20" spans="1:4" x14ac:dyDescent="0.35">
      <c r="A20" s="4" t="s">
        <v>117</v>
      </c>
      <c r="B20" s="22">
        <f>B15/B18</f>
        <v>0.34371116807205832</v>
      </c>
      <c r="C20" s="4"/>
      <c r="D20" s="4"/>
    </row>
    <row r="21" spans="1:4" x14ac:dyDescent="0.35">
      <c r="A21" s="4" t="s">
        <v>118</v>
      </c>
      <c r="B21" s="19">
        <f>B20/B19-1</f>
        <v>0.19394405751346566</v>
      </c>
      <c r="C21" s="4"/>
      <c r="D21" s="4"/>
    </row>
    <row r="22" spans="1:4" x14ac:dyDescent="0.35">
      <c r="A22" s="4" t="s">
        <v>119</v>
      </c>
      <c r="B22" s="19">
        <f>'Sources &amp; Assumptions'!B25</f>
        <v>500</v>
      </c>
      <c r="C22" s="4"/>
      <c r="D22" s="4"/>
    </row>
    <row r="23" spans="1:4" x14ac:dyDescent="0.35">
      <c r="A23" s="4" t="s">
        <v>120</v>
      </c>
      <c r="B23" s="20">
        <f>B22*(1-'Sources &amp; Assumptions'!B27)</f>
        <v>375</v>
      </c>
      <c r="C23" s="4"/>
      <c r="D23" s="4"/>
    </row>
    <row r="24" spans="1:4" x14ac:dyDescent="0.35">
      <c r="A24" s="4" t="s">
        <v>121</v>
      </c>
      <c r="B24" s="20">
        <f>B15-B23</f>
        <v>2187.1212500000001</v>
      </c>
      <c r="C24" s="4"/>
      <c r="D24" s="4"/>
    </row>
    <row r="25" spans="1:4" x14ac:dyDescent="0.35">
      <c r="A25" s="4" t="s">
        <v>122</v>
      </c>
      <c r="B25" s="22">
        <f>B24/B18</f>
        <v>0.29340453717899584</v>
      </c>
      <c r="C25" s="4"/>
      <c r="D25" s="4"/>
    </row>
  </sheetData>
  <mergeCells count="3">
    <mergeCell ref="A1:D1"/>
    <mergeCell ref="A4:D4"/>
    <mergeCell ref="A2:D2"/>
  </mergeCells>
  <pageMargins left="0.75" right="0.75" top="1" bottom="1" header="0.5" footer="0.5"/>
  <headerFooter>
    <oddFooter>&amp;CEducational M&amp;A case | Hypothetical scenario | Not investment advice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H10" sqref="H10"/>
    </sheetView>
  </sheetViews>
  <sheetFormatPr defaultRowHeight="14.5" x14ac:dyDescent="0.35"/>
  <cols>
    <col min="1" max="1" width="16.7265625" bestFit="1" customWidth="1"/>
    <col min="2" max="6" width="5.81640625" bestFit="1" customWidth="1"/>
  </cols>
  <sheetData>
    <row r="1" spans="1:6" ht="30" customHeight="1" x14ac:dyDescent="0.4">
      <c r="A1" s="1" t="s">
        <v>123</v>
      </c>
      <c r="B1" s="2"/>
      <c r="C1" s="2"/>
      <c r="D1" s="2"/>
      <c r="E1" s="2"/>
      <c r="F1" s="2"/>
    </row>
    <row r="2" spans="1:6" x14ac:dyDescent="0.35">
      <c r="A2" s="3" t="s">
        <v>124</v>
      </c>
      <c r="B2" s="2"/>
      <c r="C2" s="2"/>
      <c r="D2" s="2"/>
      <c r="E2" s="2"/>
      <c r="F2" s="2"/>
    </row>
    <row r="3" spans="1:6" x14ac:dyDescent="0.35">
      <c r="A3" s="4"/>
      <c r="B3" s="4"/>
      <c r="C3" s="4"/>
      <c r="D3" s="4"/>
      <c r="E3" s="4"/>
      <c r="F3" s="4"/>
    </row>
    <row r="4" spans="1:6" x14ac:dyDescent="0.35">
      <c r="A4" s="5" t="s">
        <v>125</v>
      </c>
      <c r="B4" s="2"/>
      <c r="C4" s="2"/>
      <c r="D4" s="2"/>
      <c r="E4" s="2"/>
      <c r="F4" s="2"/>
    </row>
    <row r="5" spans="1:6" x14ac:dyDescent="0.35">
      <c r="A5" s="9" t="s">
        <v>126</v>
      </c>
      <c r="B5" s="23" t="s">
        <v>127</v>
      </c>
      <c r="C5" s="23" t="s">
        <v>128</v>
      </c>
      <c r="D5" s="23" t="s">
        <v>129</v>
      </c>
      <c r="E5" s="23" t="s">
        <v>130</v>
      </c>
      <c r="F5" s="23" t="s">
        <v>131</v>
      </c>
    </row>
    <row r="6" spans="1:6" x14ac:dyDescent="0.35">
      <c r="A6" s="24">
        <v>0.15</v>
      </c>
      <c r="B6" s="25">
        <f>((('Sources &amp; Assumptions'!$B$21+'Sources &amp; Assumptions'!$B$22+('Sources &amp; Assumptions'!$B$23*B$5*(1-'Sources &amp; Assumptions'!$B$27))-(((('Sources &amp; Assumptions'!$B$14*(1+$A6)*'Sources &amp; Assumptions'!$B$16)*'Sources &amp; Assumptions'!$B$17)*'Sources &amp; Assumptions'!$B$18)*'Sources &amp; Assumptions'!$B$26*(1-'Sources &amp; Assumptions'!$B$27)))/('Sources &amp; Assumptions'!$B$20+((('Sources &amp; Assumptions'!$B$14*(1+$A6)*'Sources &amp; Assumptions'!$B$16)-(('Sources &amp; Assumptions'!$B$14*(1+$A6)*'Sources &amp; Assumptions'!$B$16)*'Sources &amp; Assumptions'!$B$17))/'Sources &amp; Assumptions'!$B$19)))/('Sources &amp; Assumptions'!$B$21/'Sources &amp; Assumptions'!$B$20))-1</f>
        <v>0.13630124525968257</v>
      </c>
      <c r="C6" s="25">
        <f>((('Sources &amp; Assumptions'!$B$21+'Sources &amp; Assumptions'!$B$22+('Sources &amp; Assumptions'!$B$23*C$5*(1-'Sources &amp; Assumptions'!$B$27))-(((('Sources &amp; Assumptions'!$B$14*(1+$A6)*'Sources &amp; Assumptions'!$B$16)*'Sources &amp; Assumptions'!$B$17)*'Sources &amp; Assumptions'!$B$18)*'Sources &amp; Assumptions'!$B$26*(1-'Sources &amp; Assumptions'!$B$27)))/('Sources &amp; Assumptions'!$B$20+((('Sources &amp; Assumptions'!$B$14*(1+$A6)*'Sources &amp; Assumptions'!$B$16)-(('Sources &amp; Assumptions'!$B$14*(1+$A6)*'Sources &amp; Assumptions'!$B$16)*'Sources &amp; Assumptions'!$B$17))/'Sources &amp; Assumptions'!$B$19)))/('Sources &amp; Assumptions'!$B$21/'Sources &amp; Assumptions'!$B$20))-1</f>
        <v>0.17614674413018383</v>
      </c>
      <c r="D6" s="25">
        <f>((('Sources &amp; Assumptions'!$B$21+'Sources &amp; Assumptions'!$B$22+('Sources &amp; Assumptions'!$B$23*D$5*(1-'Sources &amp; Assumptions'!$B$27))-(((('Sources &amp; Assumptions'!$B$14*(1+$A6)*'Sources &amp; Assumptions'!$B$16)*'Sources &amp; Assumptions'!$B$17)*'Sources &amp; Assumptions'!$B$18)*'Sources &amp; Assumptions'!$B$26*(1-'Sources &amp; Assumptions'!$B$27)))/('Sources &amp; Assumptions'!$B$20+((('Sources &amp; Assumptions'!$B$14*(1+$A6)*'Sources &amp; Assumptions'!$B$16)-(('Sources &amp; Assumptions'!$B$14*(1+$A6)*'Sources &amp; Assumptions'!$B$16)*'Sources &amp; Assumptions'!$B$17))/'Sources &amp; Assumptions'!$B$19)))/('Sources &amp; Assumptions'!$B$21/'Sources &amp; Assumptions'!$B$20))-1</f>
        <v>0.21599224300068487</v>
      </c>
      <c r="E6" s="25">
        <f>((('Sources &amp; Assumptions'!$B$21+'Sources &amp; Assumptions'!$B$22+('Sources &amp; Assumptions'!$B$23*E$5*(1-'Sources &amp; Assumptions'!$B$27))-(((('Sources &amp; Assumptions'!$B$14*(1+$A6)*'Sources &amp; Assumptions'!$B$16)*'Sources &amp; Assumptions'!$B$17)*'Sources &amp; Assumptions'!$B$18)*'Sources &amp; Assumptions'!$B$26*(1-'Sources &amp; Assumptions'!$B$27)))/('Sources &amp; Assumptions'!$B$20+((('Sources &amp; Assumptions'!$B$14*(1+$A6)*'Sources &amp; Assumptions'!$B$16)-(('Sources &amp; Assumptions'!$B$14*(1+$A6)*'Sources &amp; Assumptions'!$B$16)*'Sources &amp; Assumptions'!$B$17))/'Sources &amp; Assumptions'!$B$19)))/('Sources &amp; Assumptions'!$B$21/'Sources &amp; Assumptions'!$B$20))-1</f>
        <v>0.25583774187118613</v>
      </c>
      <c r="F6" s="25">
        <f>((('Sources &amp; Assumptions'!$B$21+'Sources &amp; Assumptions'!$B$22+('Sources &amp; Assumptions'!$B$23*F$5*(1-'Sources &amp; Assumptions'!$B$27))-(((('Sources &amp; Assumptions'!$B$14*(1+$A6)*'Sources &amp; Assumptions'!$B$16)*'Sources &amp; Assumptions'!$B$17)*'Sources &amp; Assumptions'!$B$18)*'Sources &amp; Assumptions'!$B$26*(1-'Sources &amp; Assumptions'!$B$27)))/('Sources &amp; Assumptions'!$B$20+((('Sources &amp; Assumptions'!$B$14*(1+$A6)*'Sources &amp; Assumptions'!$B$16)-(('Sources &amp; Assumptions'!$B$14*(1+$A6)*'Sources &amp; Assumptions'!$B$16)*'Sources &amp; Assumptions'!$B$17))/'Sources &amp; Assumptions'!$B$19)))/('Sources &amp; Assumptions'!$B$21/'Sources &amp; Assumptions'!$B$20))-1</f>
        <v>0.29568324074168717</v>
      </c>
    </row>
    <row r="7" spans="1:6" x14ac:dyDescent="0.35">
      <c r="A7" s="24">
        <v>0.2</v>
      </c>
      <c r="B7" s="25">
        <f>((('Sources &amp; Assumptions'!$B$21+'Sources &amp; Assumptions'!$B$22+('Sources &amp; Assumptions'!$B$23*B$5*(1-'Sources &amp; Assumptions'!$B$27))-(((('Sources &amp; Assumptions'!$B$14*(1+$A7)*'Sources &amp; Assumptions'!$B$16)*'Sources &amp; Assumptions'!$B$17)*'Sources &amp; Assumptions'!$B$18)*'Sources &amp; Assumptions'!$B$26*(1-'Sources &amp; Assumptions'!$B$27)))/('Sources &amp; Assumptions'!$B$20+((('Sources &amp; Assumptions'!$B$14*(1+$A7)*'Sources &amp; Assumptions'!$B$16)-(('Sources &amp; Assumptions'!$B$14*(1+$A7)*'Sources &amp; Assumptions'!$B$16)*'Sources &amp; Assumptions'!$B$17))/'Sources &amp; Assumptions'!$B$19)))/('Sources &amp; Assumptions'!$B$21/'Sources &amp; Assumptions'!$B$20))-1</f>
        <v>0.12924087190133093</v>
      </c>
      <c r="C7" s="25">
        <f>((('Sources &amp; Assumptions'!$B$21+'Sources &amp; Assumptions'!$B$22+('Sources &amp; Assumptions'!$B$23*C$5*(1-'Sources &amp; Assumptions'!$B$27))-(((('Sources &amp; Assumptions'!$B$14*(1+$A7)*'Sources &amp; Assumptions'!$B$16)*'Sources &amp; Assumptions'!$B$17)*'Sources &amp; Assumptions'!$B$18)*'Sources &amp; Assumptions'!$B$26*(1-'Sources &amp; Assumptions'!$B$27)))/('Sources &amp; Assumptions'!$B$20+((('Sources &amp; Assumptions'!$B$14*(1+$A7)*'Sources &amp; Assumptions'!$B$16)-(('Sources &amp; Assumptions'!$B$14*(1+$A7)*'Sources &amp; Assumptions'!$B$16)*'Sources &amp; Assumptions'!$B$17))/'Sources &amp; Assumptions'!$B$19)))/('Sources &amp; Assumptions'!$B$21/'Sources &amp; Assumptions'!$B$20))-1</f>
        <v>0.16890917694468177</v>
      </c>
      <c r="D7" s="25">
        <f>((('Sources &amp; Assumptions'!$B$21+'Sources &amp; Assumptions'!$B$22+('Sources &amp; Assumptions'!$B$23*D$5*(1-'Sources &amp; Assumptions'!$B$27))-(((('Sources &amp; Assumptions'!$B$14*(1+$A7)*'Sources &amp; Assumptions'!$B$16)*'Sources &amp; Assumptions'!$B$17)*'Sources &amp; Assumptions'!$B$18)*'Sources &amp; Assumptions'!$B$26*(1-'Sources &amp; Assumptions'!$B$27)))/('Sources &amp; Assumptions'!$B$20+((('Sources &amp; Assumptions'!$B$14*(1+$A7)*'Sources &amp; Assumptions'!$B$16)-(('Sources &amp; Assumptions'!$B$14*(1+$A7)*'Sources &amp; Assumptions'!$B$16)*'Sources &amp; Assumptions'!$B$17))/'Sources &amp; Assumptions'!$B$19)))/('Sources &amp; Assumptions'!$B$21/'Sources &amp; Assumptions'!$B$20))-1</f>
        <v>0.20857748198803261</v>
      </c>
      <c r="E7" s="25">
        <f>((('Sources &amp; Assumptions'!$B$21+'Sources &amp; Assumptions'!$B$22+('Sources &amp; Assumptions'!$B$23*E$5*(1-'Sources &amp; Assumptions'!$B$27))-(((('Sources &amp; Assumptions'!$B$14*(1+$A7)*'Sources &amp; Assumptions'!$B$16)*'Sources &amp; Assumptions'!$B$17)*'Sources &amp; Assumptions'!$B$18)*'Sources &amp; Assumptions'!$B$26*(1-'Sources &amp; Assumptions'!$B$27)))/('Sources &amp; Assumptions'!$B$20+((('Sources &amp; Assumptions'!$B$14*(1+$A7)*'Sources &amp; Assumptions'!$B$16)-(('Sources &amp; Assumptions'!$B$14*(1+$A7)*'Sources &amp; Assumptions'!$B$16)*'Sources &amp; Assumptions'!$B$17))/'Sources &amp; Assumptions'!$B$19)))/('Sources &amp; Assumptions'!$B$21/'Sources &amp; Assumptions'!$B$20))-1</f>
        <v>0.24824578703138345</v>
      </c>
      <c r="F7" s="25">
        <f>((('Sources &amp; Assumptions'!$B$21+'Sources &amp; Assumptions'!$B$22+('Sources &amp; Assumptions'!$B$23*F$5*(1-'Sources &amp; Assumptions'!$B$27))-(((('Sources &amp; Assumptions'!$B$14*(1+$A7)*'Sources &amp; Assumptions'!$B$16)*'Sources &amp; Assumptions'!$B$17)*'Sources &amp; Assumptions'!$B$18)*'Sources &amp; Assumptions'!$B$26*(1-'Sources &amp; Assumptions'!$B$27)))/('Sources &amp; Assumptions'!$B$20+((('Sources &amp; Assumptions'!$B$14*(1+$A7)*'Sources &amp; Assumptions'!$B$16)-(('Sources &amp; Assumptions'!$B$14*(1+$A7)*'Sources &amp; Assumptions'!$B$16)*'Sources &amp; Assumptions'!$B$17))/'Sources &amp; Assumptions'!$B$19)))/('Sources &amp; Assumptions'!$B$21/'Sources &amp; Assumptions'!$B$20))-1</f>
        <v>0.28791409207473428</v>
      </c>
    </row>
    <row r="8" spans="1:6" x14ac:dyDescent="0.35">
      <c r="A8" s="24">
        <v>0.25</v>
      </c>
      <c r="B8" s="25">
        <f>((('Sources &amp; Assumptions'!$B$21+'Sources &amp; Assumptions'!$B$22+('Sources &amp; Assumptions'!$B$23*B$5*(1-'Sources &amp; Assumptions'!$B$27))-(((('Sources &amp; Assumptions'!$B$14*(1+$A8)*'Sources &amp; Assumptions'!$B$16)*'Sources &amp; Assumptions'!$B$17)*'Sources &amp; Assumptions'!$B$18)*'Sources &amp; Assumptions'!$B$26*(1-'Sources &amp; Assumptions'!$B$27)))/('Sources &amp; Assumptions'!$B$20+((('Sources &amp; Assumptions'!$B$14*(1+$A8)*'Sources &amp; Assumptions'!$B$16)-(('Sources &amp; Assumptions'!$B$14*(1+$A8)*'Sources &amp; Assumptions'!$B$16)*'Sources &amp; Assumptions'!$B$17))/'Sources &amp; Assumptions'!$B$19)))/('Sources &amp; Assumptions'!$B$21/'Sources &amp; Assumptions'!$B$20))-1</f>
        <v>0.12224301580467034</v>
      </c>
      <c r="C8" s="25">
        <f>((('Sources &amp; Assumptions'!$B$21+'Sources &amp; Assumptions'!$B$22+('Sources &amp; Assumptions'!$B$23*C$5*(1-'Sources &amp; Assumptions'!$B$27))-(((('Sources &amp; Assumptions'!$B$14*(1+$A8)*'Sources &amp; Assumptions'!$B$16)*'Sources &amp; Assumptions'!$B$17)*'Sources &amp; Assumptions'!$B$18)*'Sources &amp; Assumptions'!$B$26*(1-'Sources &amp; Assumptions'!$B$27)))/('Sources &amp; Assumptions'!$B$20+((('Sources &amp; Assumptions'!$B$14*(1+$A8)*'Sources &amp; Assumptions'!$B$16)-(('Sources &amp; Assumptions'!$B$14*(1+$A8)*'Sources &amp; Assumptions'!$B$16)*'Sources &amp; Assumptions'!$B$17))/'Sources &amp; Assumptions'!$B$19)))/('Sources &amp; Assumptions'!$B$21/'Sources &amp; Assumptions'!$B$20))-1</f>
        <v>0.16173569601337312</v>
      </c>
      <c r="D8" s="25">
        <f>((('Sources &amp; Assumptions'!$B$21+'Sources &amp; Assumptions'!$B$22+('Sources &amp; Assumptions'!$B$23*D$5*(1-'Sources &amp; Assumptions'!$B$27))-(((('Sources &amp; Assumptions'!$B$14*(1+$A8)*'Sources &amp; Assumptions'!$B$16)*'Sources &amp; Assumptions'!$B$17)*'Sources &amp; Assumptions'!$B$18)*'Sources &amp; Assumptions'!$B$26*(1-'Sources &amp; Assumptions'!$B$27)))/('Sources &amp; Assumptions'!$B$20+((('Sources &amp; Assumptions'!$B$14*(1+$A8)*'Sources &amp; Assumptions'!$B$16)-(('Sources &amp; Assumptions'!$B$14*(1+$A8)*'Sources &amp; Assumptions'!$B$16)*'Sources &amp; Assumptions'!$B$17))/'Sources &amp; Assumptions'!$B$19)))/('Sources &amp; Assumptions'!$B$21/'Sources &amp; Assumptions'!$B$20))-1</f>
        <v>0.20122837622207568</v>
      </c>
      <c r="E8" s="25">
        <f>((('Sources &amp; Assumptions'!$B$21+'Sources &amp; Assumptions'!$B$22+('Sources &amp; Assumptions'!$B$23*E$5*(1-'Sources &amp; Assumptions'!$B$27))-(((('Sources &amp; Assumptions'!$B$14*(1+$A8)*'Sources &amp; Assumptions'!$B$16)*'Sources &amp; Assumptions'!$B$17)*'Sources &amp; Assumptions'!$B$18)*'Sources &amp; Assumptions'!$B$26*(1-'Sources &amp; Assumptions'!$B$27)))/('Sources &amp; Assumptions'!$B$20+((('Sources &amp; Assumptions'!$B$14*(1+$A8)*'Sources &amp; Assumptions'!$B$16)-(('Sources &amp; Assumptions'!$B$14*(1+$A8)*'Sources &amp; Assumptions'!$B$16)*'Sources &amp; Assumptions'!$B$17))/'Sources &amp; Assumptions'!$B$19)))/('Sources &amp; Assumptions'!$B$21/'Sources &amp; Assumptions'!$B$20))-1</f>
        <v>0.24072105643077846</v>
      </c>
      <c r="F8" s="25">
        <f>((('Sources &amp; Assumptions'!$B$21+'Sources &amp; Assumptions'!$B$22+('Sources &amp; Assumptions'!$B$23*F$5*(1-'Sources &amp; Assumptions'!$B$27))-(((('Sources &amp; Assumptions'!$B$14*(1+$A8)*'Sources &amp; Assumptions'!$B$16)*'Sources &amp; Assumptions'!$B$17)*'Sources &amp; Assumptions'!$B$18)*'Sources &amp; Assumptions'!$B$26*(1-'Sources &amp; Assumptions'!$B$27)))/('Sources &amp; Assumptions'!$B$20+((('Sources &amp; Assumptions'!$B$14*(1+$A8)*'Sources &amp; Assumptions'!$B$16)-(('Sources &amp; Assumptions'!$B$14*(1+$A8)*'Sources &amp; Assumptions'!$B$16)*'Sources &amp; Assumptions'!$B$17))/'Sources &amp; Assumptions'!$B$19)))/('Sources &amp; Assumptions'!$B$21/'Sources &amp; Assumptions'!$B$20))-1</f>
        <v>0.28021373663948124</v>
      </c>
    </row>
    <row r="9" spans="1:6" x14ac:dyDescent="0.35">
      <c r="A9" s="24">
        <v>0.3</v>
      </c>
      <c r="B9" s="25">
        <f>((('Sources &amp; Assumptions'!$B$21+'Sources &amp; Assumptions'!$B$22+('Sources &amp; Assumptions'!$B$23*B$5*(1-'Sources &amp; Assumptions'!$B$27))-(((('Sources &amp; Assumptions'!$B$14*(1+$A9)*'Sources &amp; Assumptions'!$B$16)*'Sources &amp; Assumptions'!$B$17)*'Sources &amp; Assumptions'!$B$18)*'Sources &amp; Assumptions'!$B$26*(1-'Sources &amp; Assumptions'!$B$27)))/('Sources &amp; Assumptions'!$B$20+((('Sources &amp; Assumptions'!$B$14*(1+$A9)*'Sources &amp; Assumptions'!$B$16)-(('Sources &amp; Assumptions'!$B$14*(1+$A9)*'Sources &amp; Assumptions'!$B$16)*'Sources &amp; Assumptions'!$B$17))/'Sources &amp; Assumptions'!$B$19)))/('Sources &amp; Assumptions'!$B$21/'Sources &amp; Assumptions'!$B$20))-1</f>
        <v>0.11530685027536269</v>
      </c>
      <c r="C9" s="25">
        <f>((('Sources &amp; Assumptions'!$B$21+'Sources &amp; Assumptions'!$B$22+('Sources &amp; Assumptions'!$B$23*C$5*(1-'Sources &amp; Assumptions'!$B$27))-(((('Sources &amp; Assumptions'!$B$14*(1+$A9)*'Sources &amp; Assumptions'!$B$16)*'Sources &amp; Assumptions'!$B$17)*'Sources &amp; Assumptions'!$B$18)*'Sources &amp; Assumptions'!$B$26*(1-'Sources &amp; Assumptions'!$B$27)))/('Sources &amp; Assumptions'!$B$20+((('Sources &amp; Assumptions'!$B$14*(1+$A9)*'Sources &amp; Assumptions'!$B$16)-(('Sources &amp; Assumptions'!$B$14*(1+$A9)*'Sources &amp; Assumptions'!$B$16)*'Sources &amp; Assumptions'!$B$17))/'Sources &amp; Assumptions'!$B$19)))/('Sources &amp; Assumptions'!$B$21/'Sources &amp; Assumptions'!$B$20))-1</f>
        <v>0.15462545389441429</v>
      </c>
      <c r="D9" s="25">
        <f>((('Sources &amp; Assumptions'!$B$21+'Sources &amp; Assumptions'!$B$22+('Sources &amp; Assumptions'!$B$23*D$5*(1-'Sources &amp; Assumptions'!$B$27))-(((('Sources &amp; Assumptions'!$B$14*(1+$A9)*'Sources &amp; Assumptions'!$B$16)*'Sources &amp; Assumptions'!$B$17)*'Sources &amp; Assumptions'!$B$18)*'Sources &amp; Assumptions'!$B$26*(1-'Sources &amp; Assumptions'!$B$27)))/('Sources &amp; Assumptions'!$B$20+((('Sources &amp; Assumptions'!$B$14*(1+$A9)*'Sources &amp; Assumptions'!$B$16)-(('Sources &amp; Assumptions'!$B$14*(1+$A9)*'Sources &amp; Assumptions'!$B$16)*'Sources &amp; Assumptions'!$B$17))/'Sources &amp; Assumptions'!$B$19)))/('Sources &amp; Assumptions'!$B$21/'Sources &amp; Assumptions'!$B$20))-1</f>
        <v>0.19394405751346566</v>
      </c>
      <c r="E9" s="25">
        <f>((('Sources &amp; Assumptions'!$B$21+'Sources &amp; Assumptions'!$B$22+('Sources &amp; Assumptions'!$B$23*E$5*(1-'Sources &amp; Assumptions'!$B$27))-(((('Sources &amp; Assumptions'!$B$14*(1+$A9)*'Sources &amp; Assumptions'!$B$16)*'Sources &amp; Assumptions'!$B$17)*'Sources &amp; Assumptions'!$B$18)*'Sources &amp; Assumptions'!$B$26*(1-'Sources &amp; Assumptions'!$B$27)))/('Sources &amp; Assumptions'!$B$20+((('Sources &amp; Assumptions'!$B$14*(1+$A9)*'Sources &amp; Assumptions'!$B$16)-(('Sources &amp; Assumptions'!$B$14*(1+$A9)*'Sources &amp; Assumptions'!$B$16)*'Sources &amp; Assumptions'!$B$17))/'Sources &amp; Assumptions'!$B$19)))/('Sources &amp; Assumptions'!$B$21/'Sources &amp; Assumptions'!$B$20))-1</f>
        <v>0.23326266113251704</v>
      </c>
      <c r="F9" s="25">
        <f>((('Sources &amp; Assumptions'!$B$21+'Sources &amp; Assumptions'!$B$22+('Sources &amp; Assumptions'!$B$23*F$5*(1-'Sources &amp; Assumptions'!$B$27))-(((('Sources &amp; Assumptions'!$B$14*(1+$A9)*'Sources &amp; Assumptions'!$B$16)*'Sources &amp; Assumptions'!$B$17)*'Sources &amp; Assumptions'!$B$18)*'Sources &amp; Assumptions'!$B$26*(1-'Sources &amp; Assumptions'!$B$27)))/('Sources &amp; Assumptions'!$B$20+((('Sources &amp; Assumptions'!$B$14*(1+$A9)*'Sources &amp; Assumptions'!$B$16)-(('Sources &amp; Assumptions'!$B$14*(1+$A9)*'Sources &amp; Assumptions'!$B$16)*'Sources &amp; Assumptions'!$B$17))/'Sources &amp; Assumptions'!$B$19)))/('Sources &amp; Assumptions'!$B$21/'Sources &amp; Assumptions'!$B$20))-1</f>
        <v>0.27258126475156841</v>
      </c>
    </row>
    <row r="10" spans="1:6" x14ac:dyDescent="0.35">
      <c r="A10" s="24">
        <v>0.35</v>
      </c>
      <c r="B10" s="25">
        <f>((('Sources &amp; Assumptions'!$B$21+'Sources &amp; Assumptions'!$B$22+('Sources &amp; Assumptions'!$B$23*B$5*(1-'Sources &amp; Assumptions'!$B$27))-(((('Sources &amp; Assumptions'!$B$14*(1+$A10)*'Sources &amp; Assumptions'!$B$16)*'Sources &amp; Assumptions'!$B$17)*'Sources &amp; Assumptions'!$B$18)*'Sources &amp; Assumptions'!$B$26*(1-'Sources &amp; Assumptions'!$B$27)))/('Sources &amp; Assumptions'!$B$20+((('Sources &amp; Assumptions'!$B$14*(1+$A10)*'Sources &amp; Assumptions'!$B$16)-(('Sources &amp; Assumptions'!$B$14*(1+$A10)*'Sources &amp; Assumptions'!$B$16)*'Sources &amp; Assumptions'!$B$17))/'Sources &amp; Assumptions'!$B$19)))/('Sources &amp; Assumptions'!$B$21/'Sources &amp; Assumptions'!$B$20))-1</f>
        <v>0.10843156313078062</v>
      </c>
      <c r="C10" s="25">
        <f>((('Sources &amp; Assumptions'!$B$21+'Sources &amp; Assumptions'!$B$22+('Sources &amp; Assumptions'!$B$23*C$5*(1-'Sources &amp; Assumptions'!$B$27))-(((('Sources &amp; Assumptions'!$B$14*(1+$A10)*'Sources &amp; Assumptions'!$B$16)*'Sources &amp; Assumptions'!$B$17)*'Sources &amp; Assumptions'!$B$18)*'Sources &amp; Assumptions'!$B$26*(1-'Sources &amp; Assumptions'!$B$27)))/('Sources &amp; Assumptions'!$B$20+((('Sources &amp; Assumptions'!$B$14*(1+$A10)*'Sources &amp; Assumptions'!$B$16)-(('Sources &amp; Assumptions'!$B$14*(1+$A10)*'Sources &amp; Assumptions'!$B$16)*'Sources &amp; Assumptions'!$B$17))/'Sources &amp; Assumptions'!$B$19)))/('Sources &amp; Assumptions'!$B$21/'Sources &amp; Assumptions'!$B$20))-1</f>
        <v>0.14757761802187197</v>
      </c>
      <c r="D10" s="25">
        <f>((('Sources &amp; Assumptions'!$B$21+'Sources &amp; Assumptions'!$B$22+('Sources &amp; Assumptions'!$B$23*D$5*(1-'Sources &amp; Assumptions'!$B$27))-(((('Sources &amp; Assumptions'!$B$14*(1+$A10)*'Sources &amp; Assumptions'!$B$16)*'Sources &amp; Assumptions'!$B$17)*'Sources &amp; Assumptions'!$B$18)*'Sources &amp; Assumptions'!$B$26*(1-'Sources &amp; Assumptions'!$B$27)))/('Sources &amp; Assumptions'!$B$20+((('Sources &amp; Assumptions'!$B$14*(1+$A10)*'Sources &amp; Assumptions'!$B$16)-(('Sources &amp; Assumptions'!$B$14*(1+$A10)*'Sources &amp; Assumptions'!$B$16)*'Sources &amp; Assumptions'!$B$17))/'Sources &amp; Assumptions'!$B$19)))/('Sources &amp; Assumptions'!$B$21/'Sources &amp; Assumptions'!$B$20))-1</f>
        <v>0.18672367291296355</v>
      </c>
      <c r="E10" s="25">
        <f>((('Sources &amp; Assumptions'!$B$21+'Sources &amp; Assumptions'!$B$22+('Sources &amp; Assumptions'!$B$23*E$5*(1-'Sources &amp; Assumptions'!$B$27))-(((('Sources &amp; Assumptions'!$B$14*(1+$A10)*'Sources &amp; Assumptions'!$B$16)*'Sources &amp; Assumptions'!$B$17)*'Sources &amp; Assumptions'!$B$18)*'Sources &amp; Assumptions'!$B$26*(1-'Sources &amp; Assumptions'!$B$27)))/('Sources &amp; Assumptions'!$B$20+((('Sources &amp; Assumptions'!$B$14*(1+$A10)*'Sources &amp; Assumptions'!$B$16)-(('Sources &amp; Assumptions'!$B$14*(1+$A10)*'Sources &amp; Assumptions'!$B$16)*'Sources &amp; Assumptions'!$B$17))/'Sources &amp; Assumptions'!$B$19)))/('Sources &amp; Assumptions'!$B$21/'Sources &amp; Assumptions'!$B$20))-1</f>
        <v>0.2258697278040549</v>
      </c>
      <c r="F10" s="25">
        <f>((('Sources &amp; Assumptions'!$B$21+'Sources &amp; Assumptions'!$B$22+('Sources &amp; Assumptions'!$B$23*F$5*(1-'Sources &amp; Assumptions'!$B$27))-(((('Sources &amp; Assumptions'!$B$14*(1+$A10)*'Sources &amp; Assumptions'!$B$16)*'Sources &amp; Assumptions'!$B$17)*'Sources &amp; Assumptions'!$B$18)*'Sources &amp; Assumptions'!$B$26*(1-'Sources &amp; Assumptions'!$B$27)))/('Sources &amp; Assumptions'!$B$20+((('Sources &amp; Assumptions'!$B$14*(1+$A10)*'Sources &amp; Assumptions'!$B$16)-(('Sources &amp; Assumptions'!$B$14*(1+$A10)*'Sources &amp; Assumptions'!$B$16)*'Sources &amp; Assumptions'!$B$17))/'Sources &amp; Assumptions'!$B$19)))/('Sources &amp; Assumptions'!$B$21/'Sources &amp; Assumptions'!$B$20))-1</f>
        <v>0.26501578269514647</v>
      </c>
    </row>
    <row r="11" spans="1:6" x14ac:dyDescent="0.35">
      <c r="A11" s="24">
        <v>0.4</v>
      </c>
      <c r="B11" s="25">
        <f>((('Sources &amp; Assumptions'!$B$21+'Sources &amp; Assumptions'!$B$22+('Sources &amp; Assumptions'!$B$23*B$5*(1-'Sources &amp; Assumptions'!$B$27))-(((('Sources &amp; Assumptions'!$B$14*(1+$A11)*'Sources &amp; Assumptions'!$B$16)*'Sources &amp; Assumptions'!$B$17)*'Sources &amp; Assumptions'!$B$18)*'Sources &amp; Assumptions'!$B$26*(1-'Sources &amp; Assumptions'!$B$27)))/('Sources &amp; Assumptions'!$B$20+((('Sources &amp; Assumptions'!$B$14*(1+$A11)*'Sources &amp; Assumptions'!$B$16)-(('Sources &amp; Assumptions'!$B$14*(1+$A11)*'Sources &amp; Assumptions'!$B$16)*'Sources &amp; Assumptions'!$B$17))/'Sources &amp; Assumptions'!$B$19)))/('Sources &amp; Assumptions'!$B$21/'Sources &amp; Assumptions'!$B$20))-1</f>
        <v>0.10161635638297861</v>
      </c>
      <c r="C11" s="25">
        <f>((('Sources &amp; Assumptions'!$B$21+'Sources &amp; Assumptions'!$B$22+('Sources &amp; Assumptions'!$B$23*C$5*(1-'Sources &amp; Assumptions'!$B$27))-(((('Sources &amp; Assumptions'!$B$14*(1+$A11)*'Sources &amp; Assumptions'!$B$16)*'Sources &amp; Assumptions'!$B$17)*'Sources &amp; Assumptions'!$B$18)*'Sources &amp; Assumptions'!$B$26*(1-'Sources &amp; Assumptions'!$B$27)))/('Sources &amp; Assumptions'!$B$20+((('Sources &amp; Assumptions'!$B$14*(1+$A11)*'Sources &amp; Assumptions'!$B$16)-(('Sources &amp; Assumptions'!$B$14*(1+$A11)*'Sources &amp; Assumptions'!$B$16)*'Sources &amp; Assumptions'!$B$17))/'Sources &amp; Assumptions'!$B$19)))/('Sources &amp; Assumptions'!$B$21/'Sources &amp; Assumptions'!$B$20))-1</f>
        <v>0.14059137038073888</v>
      </c>
      <c r="D11" s="25">
        <f>((('Sources &amp; Assumptions'!$B$21+'Sources &amp; Assumptions'!$B$22+('Sources &amp; Assumptions'!$B$23*D$5*(1-'Sources &amp; Assumptions'!$B$27))-(((('Sources &amp; Assumptions'!$B$14*(1+$A11)*'Sources &amp; Assumptions'!$B$16)*'Sources &amp; Assumptions'!$B$17)*'Sources &amp; Assumptions'!$B$18)*'Sources &amp; Assumptions'!$B$26*(1-'Sources &amp; Assumptions'!$B$27)))/('Sources &amp; Assumptions'!$B$20+((('Sources &amp; Assumptions'!$B$14*(1+$A11)*'Sources &amp; Assumptions'!$B$16)-(('Sources &amp; Assumptions'!$B$14*(1+$A11)*'Sources &amp; Assumptions'!$B$16)*'Sources &amp; Assumptions'!$B$17))/'Sources &amp; Assumptions'!$B$19)))/('Sources &amp; Assumptions'!$B$21/'Sources &amp; Assumptions'!$B$20))-1</f>
        <v>0.17956638437849937</v>
      </c>
      <c r="E11" s="25">
        <f>((('Sources &amp; Assumptions'!$B$21+'Sources &amp; Assumptions'!$B$22+('Sources &amp; Assumptions'!$B$23*E$5*(1-'Sources &amp; Assumptions'!$B$27))-(((('Sources &amp; Assumptions'!$B$14*(1+$A11)*'Sources &amp; Assumptions'!$B$16)*'Sources &amp; Assumptions'!$B$17)*'Sources &amp; Assumptions'!$B$18)*'Sources &amp; Assumptions'!$B$26*(1-'Sources &amp; Assumptions'!$B$27)))/('Sources &amp; Assumptions'!$B$20+((('Sources &amp; Assumptions'!$B$14*(1+$A11)*'Sources &amp; Assumptions'!$B$16)-(('Sources &amp; Assumptions'!$B$14*(1+$A11)*'Sources &amp; Assumptions'!$B$16)*'Sources &amp; Assumptions'!$B$17))/'Sources &amp; Assumptions'!$B$19)))/('Sources &amp; Assumptions'!$B$21/'Sources &amp; Assumptions'!$B$20))-1</f>
        <v>0.21854139837625963</v>
      </c>
      <c r="F11" s="25">
        <f>((('Sources &amp; Assumptions'!$B$21+'Sources &amp; Assumptions'!$B$22+('Sources &amp; Assumptions'!$B$23*F$5*(1-'Sources &amp; Assumptions'!$B$27))-(((('Sources &amp; Assumptions'!$B$14*(1+$A11)*'Sources &amp; Assumptions'!$B$16)*'Sources &amp; Assumptions'!$B$17)*'Sources &amp; Assumptions'!$B$18)*'Sources &amp; Assumptions'!$B$26*(1-'Sources &amp; Assumptions'!$B$27)))/('Sources &amp; Assumptions'!$B$20+((('Sources &amp; Assumptions'!$B$14*(1+$A11)*'Sources &amp; Assumptions'!$B$16)-(('Sources &amp; Assumptions'!$B$14*(1+$A11)*'Sources &amp; Assumptions'!$B$16)*'Sources &amp; Assumptions'!$B$17))/'Sources &amp; Assumptions'!$B$19)))/('Sources &amp; Assumptions'!$B$21/'Sources &amp; Assumptions'!$B$20))-1</f>
        <v>0.25751641237402012</v>
      </c>
    </row>
    <row r="12" spans="1:6" x14ac:dyDescent="0.35">
      <c r="A12" s="4"/>
      <c r="B12" s="4"/>
      <c r="C12" s="4"/>
      <c r="D12" s="4"/>
      <c r="E12" s="4"/>
      <c r="F12" s="4"/>
    </row>
    <row r="13" spans="1:6" x14ac:dyDescent="0.35">
      <c r="A13" s="4"/>
      <c r="B13" s="4"/>
      <c r="C13" s="4"/>
      <c r="D13" s="4"/>
      <c r="E13" s="4"/>
      <c r="F13" s="4"/>
    </row>
    <row r="14" spans="1:6" x14ac:dyDescent="0.35">
      <c r="A14" s="4" t="s">
        <v>132</v>
      </c>
      <c r="B14" s="26" t="s">
        <v>133</v>
      </c>
      <c r="C14" s="2"/>
      <c r="D14" s="2"/>
      <c r="E14" s="2"/>
      <c r="F14" s="2"/>
    </row>
    <row r="15" spans="1:6" x14ac:dyDescent="0.35">
      <c r="A15" s="4"/>
      <c r="B15" s="2"/>
      <c r="C15" s="2"/>
      <c r="D15" s="2"/>
      <c r="E15" s="2"/>
      <c r="F15" s="2"/>
    </row>
  </sheetData>
  <mergeCells count="4">
    <mergeCell ref="A2:F2"/>
    <mergeCell ref="B14:F15"/>
    <mergeCell ref="A1:F1"/>
    <mergeCell ref="A4:F4"/>
  </mergeCells>
  <conditionalFormatting sqref="B6:F1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  <headerFooter>
    <oddFooter>&amp;CEducational M&amp;A case | Hypothetical scenario | Not investment advice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 Me</vt:lpstr>
      <vt:lpstr>Sources &amp; Assumptions</vt:lpstr>
      <vt:lpstr>Purchase Price</vt:lpstr>
      <vt:lpstr>Sources &amp; Uses</vt:lpstr>
      <vt:lpstr>Pro Forma EPS</vt:lpstr>
      <vt:lpstr>Sensitivity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yuvraj gupta</cp:lastModifiedBy>
  <dcterms:created xsi:type="dcterms:W3CDTF">2026-10-13T18:55:25Z</dcterms:created>
  <dcterms:modified xsi:type="dcterms:W3CDTF">2026-10-14T12:24:48Z</dcterms:modified>
</cp:coreProperties>
</file>